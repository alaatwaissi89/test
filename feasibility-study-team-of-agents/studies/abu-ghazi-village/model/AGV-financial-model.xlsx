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Debt" sheetId="2" state="visible" r:id="rId4"/>
    <sheet name="CashFlow" sheetId="3" state="visible" r:id="rId5"/>
    <sheet name="Funding options" sheetId="4" state="visible" r:id="rId6"/>
    <sheet name="Gallery scenarios" sheetId="5" state="visible" r:id="rId7"/>
    <sheet name="Stress tests" sheetId="6" state="visible" r:id="rId8"/>
    <sheet name="Refinance 140k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<sst xmlns="http://schemas.openxmlformats.org/spreadsheetml/2006/main" count="177" uniqueCount="116">
  <si>
    <t xml:space="preserve">Input</t>
  </si>
  <si>
    <t xml:space="preserve">Value</t>
  </si>
  <si>
    <t xml:space="preserve">Basis</t>
  </si>
  <si>
    <t xml:space="preserve">Loan amount (JOD)</t>
  </si>
  <si>
    <t xml:space="preserve">[SOURCE: owner brief] 160k long-term + 40k working capital</t>
  </si>
  <si>
    <t xml:space="preserve">Annual rate</t>
  </si>
  <si>
    <t xml:space="preserve">[SOURCE: HBTF CBJ sectors programme page: outside Amman 0.5% + margin, min 3.25%][VERIFY bank offer]</t>
  </si>
  <si>
    <t xml:space="preserve">Grace months (interest only)</t>
  </si>
  <si>
    <t xml:space="preserve">[SOURCE: owner brief; programme allows up to 24]</t>
  </si>
  <si>
    <t xml:space="preserve">Repayment months</t>
  </si>
  <si>
    <t xml:space="preserve">[SOURCE: owner brief]</t>
  </si>
  <si>
    <t xml:space="preserve">Tax rate</t>
  </si>
  <si>
    <t xml:space="preserve">[ASSUMPTION per brief][VERIFY individual vs company basis]</t>
  </si>
  <si>
    <t xml:space="preserve">Depreciable CAPEX (BOQ + contingency)</t>
  </si>
  <si>
    <t xml:space="preserve">[SOURCE: BOQ 151,682 + 5% 7,584.10]</t>
  </si>
  <si>
    <t xml:space="preserve">Depreciation years</t>
  </si>
  <si>
    <t xml:space="preserve">[ASSUMPTION] lease term 20 years</t>
  </si>
  <si>
    <t xml:space="preserve">Opening cash reserves</t>
  </si>
  <si>
    <t xml:space="preserve">[SOURCE: brief uses] 36,104.90 + 12,300 + 12,329</t>
  </si>
  <si>
    <t xml:space="preserve">Yellow cells are inputs. Change them and the Debt and CashFlow sheets recalculate (debt service, tax, DSCR).</t>
  </si>
  <si>
    <t xml:space="preserve">Month</t>
  </si>
  <si>
    <t xml:space="preserve">Year</t>
  </si>
  <si>
    <t xml:space="preserve">Opening balance</t>
  </si>
  <si>
    <t xml:space="preserve">Interest</t>
  </si>
  <si>
    <t xml:space="preserve">Principal</t>
  </si>
  <si>
    <t xml:space="preserve">Payment</t>
  </si>
  <si>
    <t xml:space="preserve">Closing balance</t>
  </si>
  <si>
    <t xml:space="preserve">Level payment after grace</t>
  </si>
  <si>
    <t xml:space="preserve">JOD, Year 1 = Mar 2027-Feb 2028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</si>
  <si>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</si>
  <si>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</si>
  <si>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</si>
  <si>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</si>
  <si>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</si>
  <si>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</si>
  <si>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</si>
  <si>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</si>
  <si>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</si>
  <si>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</si>
  <si>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Rent income</t>
  </si>
  <si>
    <t xml:space="preserve">POS1 gallery (minimal, base)</t>
  </si>
  <si>
    <t xml:space="preserve">POS2 crafts shop</t>
  </si>
  <si>
    <t xml:space="preserve">POS2 cost of goods</t>
  </si>
  <si>
    <t xml:space="preserve">Staff (payroll, 7th-day cover, guard)</t>
  </si>
  <si>
    <t xml:space="preserve">Other OPEX (non-payroll, insurance, fees, maintenance)</t>
  </si>
  <si>
    <t xml:space="preserve">Hotel &amp; guide commissions 3% POS</t>
  </si>
  <si>
    <t xml:space="preserve">Card fees 1.5% POS</t>
  </si>
  <si>
    <t xml:space="preserve">Revenue</t>
  </si>
  <si>
    <t xml:space="preserve">EBITDA</t>
  </si>
  <si>
    <t xml:space="preserve">Depreciation</t>
  </si>
  <si>
    <t xml:space="preserve">Profit before tax</t>
  </si>
  <si>
    <t xml:space="preserve">Tax loss brought forward</t>
  </si>
  <si>
    <t xml:space="preserve">Income tax</t>
  </si>
  <si>
    <t xml:space="preserve">Net profit</t>
  </si>
  <si>
    <t xml:space="preserve">CFADS (EBITDA - tax)</t>
  </si>
  <si>
    <t xml:space="preserve">Debt service</t>
  </si>
  <si>
    <t xml:space="preserve">DSCR (CFADS / debt service)</t>
  </si>
  <si>
    <t xml:space="preserve">Closing cash</t>
  </si>
  <si>
    <t xml:space="preserve">Rent cover of debt service</t>
  </si>
  <si>
    <t xml:space="preserve">Case</t>
  </si>
  <si>
    <t xml:space="preserve">Total debt</t>
  </si>
  <si>
    <t xml:space="preserve">Monthly payment</t>
  </si>
  <si>
    <t xml:space="preserve">DSCR Y2</t>
  </si>
  <si>
    <t xml:space="preserve">Min DSCR Y2-10</t>
  </si>
  <si>
    <t xml:space="preserve">Avg DSCR</t>
  </si>
  <si>
    <t xml:space="preserve">DSCR Y10</t>
  </si>
  <si>
    <t xml:space="preserve">Min closing cash</t>
  </si>
  <si>
    <t xml:space="preserve">Total interest 10y</t>
  </si>
  <si>
    <t xml:space="preserve">DSCR Y1</t>
  </si>
  <si>
    <t xml:space="preserve">DSCR Y3</t>
  </si>
  <si>
    <t xml:space="preserve">DSCR Y4</t>
  </si>
  <si>
    <t xml:space="preserve">DSCR Y5</t>
  </si>
  <si>
    <t xml:space="preserve">DSCR Y6</t>
  </si>
  <si>
    <t xml:space="preserve">DSCR Y7</t>
  </si>
  <si>
    <t xml:space="preserve">DSCR Y8</t>
  </si>
  <si>
    <t xml:space="preserve">DSCR Y9</t>
  </si>
  <si>
    <t xml:space="preserve">F0 CBJ working case (brief): 200k @3.00%, 12m grace + 108</t>
  </si>
  <si>
    <t xml:space="preserve">F1 Brief structure at verified floor: 200k CBJ sectors programme @3.25%, 12m grace + 108</t>
  </si>
  <si>
    <t xml:space="preserve">F5 RECOMMENDED: 165k CBJ sectors programme @3.25%, 12m grace + 108 (no Y1 opex reserve)</t>
  </si>
  <si>
    <t xml:space="preserve">F1b same, bank margin higher @4.50%</t>
  </si>
  <si>
    <t xml:space="preserve">F1c same @3.25% with 24m grace + 96</t>
  </si>
  <si>
    <t xml:space="preserve">F2 Split: 160k CBJ @3.25% + 40k WC commercial @8.5% / 5y</t>
  </si>
  <si>
    <t xml:space="preserve">F3 Islamic (diminishing musharaka/ijara) unsubsidised @7.0%, 12m grace + 108</t>
  </si>
  <si>
    <t xml:space="preserve">F4 Commercial SME loan + JLGC 70% @9.5% all-in, 72m incl. 12m grace</t>
  </si>
  <si>
    <t xml:space="preserve">G0 No gallery investment (base case)</t>
  </si>
  <si>
    <t xml:space="preserve">G1 Study approach: 100k loan, base revenue 52,434</t>
  </si>
  <si>
    <t xml:space="preserve">G1c Study approach: 100k loan, conservative 22,500</t>
  </si>
  <si>
    <t xml:space="preserve">G1s Study approach: 100k loan, ~study price/volume 15,000 stabilized</t>
  </si>
  <si>
    <t xml:space="preserve">G2 RECOMMENDED Phase 1: 50k tranche, conservative 22,500</t>
  </si>
  <si>
    <t xml:space="preserve">G2b Phase 1: 50k tranche, base 52,434</t>
  </si>
  <si>
    <t xml:space="preserve">G3 Phase 1+2: 50k tranche + 50k grant/partner, base 52,434</t>
  </si>
  <si>
    <t xml:space="preserve">G4 High-end 128k: 50k tranche + 78k grant/partner, upside 104,859</t>
  </si>
  <si>
    <t xml:space="preserve">Base (recommended F5)</t>
  </si>
  <si>
    <t xml:space="preserve">Occupancy 85% from Y2</t>
  </si>
  <si>
    <t xml:space="preserve">Occupancy 70% from Y2</t>
  </si>
  <si>
    <t xml:space="preserve">Revenue -10%</t>
  </si>
  <si>
    <t xml:space="preserve">Revenue -20%</t>
  </si>
  <si>
    <t xml:space="preserve">Revenue -30%</t>
  </si>
  <si>
    <t xml:space="preserve">OPEX +20%</t>
  </si>
  <si>
    <t xml:space="preserve">Loss of tower rent</t>
  </si>
  <si>
    <t xml:space="preserve">Revenue -30% and OPEX +20%</t>
  </si>
  <si>
    <t xml:space="preserve">Tax 21% (company: 20% + 1% national contribution)</t>
  </si>
  <si>
    <t xml:space="preserve">No rent growth</t>
  </si>
  <si>
    <t xml:space="preserve">Rate 4.5% (higher bank margin)</t>
  </si>
  <si>
    <t xml:space="preserve">Owner-run (POS) revenue -30%</t>
  </si>
  <si>
    <t xml:space="preserve">Owner-run (POS) revenue -50%</t>
  </si>
  <si>
    <t xml:space="preserve">Rents -20% (vacancy + discounts) and POS -30%</t>
  </si>
  <si>
    <t xml:space="preserve">R1 250k CBJ sectors programme @3.25%, 12m grace + 108</t>
  </si>
  <si>
    <t xml:space="preserve">R2 305k (140k refi + 165k new) CBJ @3.25%, 12m grace + 108</t>
  </si>
  <si>
    <t xml:space="preserve">R3 110k CBJ @3.25% + 140k refi commercial @8.5% 10y</t>
  </si>
  <si>
    <t xml:space="preserve">R4 110k CBJ @3.25% + 140k refi Islamic @7% 15y (12m grace + 168)</t>
  </si>
  <si>
    <t xml:space="preserve">R5 RECOMMENDED if 250k: one 250k Islamic diminishing musharaka/ijara @7% 15y (12m grace + 168)</t>
  </si>
  <si>
    <t xml:space="preserve">R5s R5 with revenue -10%</t>
  </si>
  <si>
    <t xml:space="preserve">R6 250k commercial @8.5% 15y (12m grace + 168)</t>
  </si>
  <si>
    <t xml:space="preserve">R7 305k: 165k CBJ + 140k refi Islamic @7% 15y</t>
  </si>
  <si>
    <t xml:space="preserve">Cap: 205k CBJ @3.25% 10y (DSCR ~1.25 limit)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</si>
</sst>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$-409]#,##0.00;[RED]\-[$$-409]#,##0.00"/>
    <numFmt numFmtId="166" formatCode="#,##0.00"/>
    <numFmt numFmtId="167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3" style="0" width="9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1" t="n">
        <v>165000</v>
      </c>
      <c r="C2" s="2" t="s">
        <v>4</v>
      </c>
    </row>
    <row r="3" customFormat="false" ht="15" hidden="false" customHeight="false" outlineLevel="0" collapsed="false">
      <c r="A3" s="0" t="s">
        <v>5</v>
      </c>
      <c r="B3" s="1" t="n">
        <v>0.0325</v>
      </c>
      <c r="C3" s="2" t="s">
        <v>6</v>
      </c>
    </row>
    <row r="4" customFormat="false" ht="15" hidden="false" customHeight="false" outlineLevel="0" collapsed="false">
      <c r="A4" s="0" t="s">
        <v>7</v>
      </c>
      <c r="B4" s="1" t="n">
        <v>12</v>
      </c>
      <c r="C4" s="2" t="s">
        <v>8</v>
      </c>
    </row>
    <row r="5" customFormat="false" ht="15" hidden="false" customHeight="false" outlineLevel="0" collapsed="false">
      <c r="A5" s="0" t="s">
        <v>9</v>
      </c>
      <c r="B5" s="1" t="n">
        <v>108</v>
      </c>
      <c r="C5" s="2" t="s">
        <v>10</v>
      </c>
    </row>
    <row r="6" customFormat="false" ht="15" hidden="false" customHeight="false" outlineLevel="0" collapsed="false">
      <c r="A6" s="0" t="s">
        <v>11</v>
      </c>
      <c r="B6" s="1" t="n">
        <v>0.2</v>
      </c>
      <c r="C6" s="2" t="s">
        <v>12</v>
      </c>
    </row>
    <row r="7" customFormat="false" ht="15" hidden="false" customHeight="false" outlineLevel="0" collapsed="false">
      <c r="A7" s="0" t="s">
        <v>13</v>
      </c>
      <c r="B7" s="1" t="n">
        <v>159266.1</v>
      </c>
      <c r="C7" s="2" t="s">
        <v>14</v>
      </c>
    </row>
    <row r="8" customFormat="false" ht="15" hidden="false" customHeight="false" outlineLevel="0" collapsed="false">
      <c r="A8" s="0" t="s">
        <v>15</v>
      </c>
      <c r="B8" s="1" t="n">
        <v>20</v>
      </c>
      <c r="C8" s="2" t="s">
        <v>16</v>
      </c>
    </row>
    <row r="9" customFormat="false" ht="15" hidden="false" customHeight="false" outlineLevel="0" collapsed="false">
      <c r="A9" s="0" t="s">
        <v>17</v>
      </c>
      <c r="B9" s="1" t="n">
        <v>24629</v>
      </c>
      <c r="C9" s="2" t="s">
        <v>18</v>
      </c>
    </row>
    <row r="12" customFormat="false" ht="15" hidden="false" customHeight="false" outlineLevel="0" collapsed="false">
      <c r="A12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I1" s="0" t="s">
        <v>27</v>
      </c>
      <c r="J1" s="3" t="n">
        <f aca="false">PMT(Inputs!B3/12,Inputs!B5,-Inputs!B2)</f>
        <v>1764.14562737988</v>
      </c>
    </row>
    <row r="2" customFormat="false" ht="15" hidden="false" customHeight="false" outlineLevel="0" collapsed="false">
      <c r="A2" s="0" t="n">
        <v>1</v>
      </c>
      <c r="B2" s="0" t="n">
        <f aca="false">INT((A2-1)/12)+1</f>
        <v>1</v>
      </c>
      <c r="C2" s="4" t="n">
        <f aca="false">Inputs!B2</f>
        <v>165000</v>
      </c>
      <c r="D2" s="4" t="n">
        <f aca="false">C2*Inputs!B3/12</f>
        <v>446.875</v>
      </c>
      <c r="E2" s="4" t="n">
        <f aca="false">IF(A2&lt;=Inputs!B4,0,MIN($J$1-D2,C2))</f>
        <v>0</v>
      </c>
      <c r="F2" s="4" t="n">
        <f aca="false">D2+E2</f>
        <v>446.875</v>
      </c>
      <c r="G2" s="4" t="n">
        <f aca="false">C2-E2</f>
        <v>165000</v>
      </c>
      <c r="J2" s="4"/>
    </row>
    <row r="3" customFormat="false" ht="15" hidden="false" customHeight="false" outlineLevel="0" collapsed="false">
      <c r="A3" s="0" t="n">
        <v>2</v>
      </c>
      <c r="B3" s="0" t="n">
        <f aca="false">INT((A3-1)/12)+1</f>
        <v>1</v>
      </c>
      <c r="C3" s="4" t="n">
        <f aca="false">G2</f>
        <v>165000</v>
      </c>
      <c r="D3" s="4" t="n">
        <f aca="false">C3*Inputs!B3/12</f>
        <v>446.875</v>
      </c>
      <c r="E3" s="4" t="n">
        <f aca="false">IF(A3&lt;=Inputs!B4,0,MIN($J$1-D3,C3))</f>
        <v>0</v>
      </c>
      <c r="F3" s="4" t="n">
        <f aca="false">D3+E3</f>
        <v>446.875</v>
      </c>
      <c r="G3" s="4" t="n">
        <f aca="false">C3-E3</f>
        <v>165000</v>
      </c>
      <c r="J3" s="4"/>
    </row>
    <row r="4" customFormat="false" ht="15" hidden="false" customHeight="false" outlineLevel="0" collapsed="false">
      <c r="A4" s="0" t="n">
        <v>3</v>
      </c>
      <c r="B4" s="0" t="n">
        <f aca="false">INT((A4-1)/12)+1</f>
        <v>1</v>
      </c>
      <c r="C4" s="4" t="n">
        <f aca="false">G3</f>
        <v>165000</v>
      </c>
      <c r="D4" s="4" t="n">
        <f aca="false">C4*Inputs!B3/12</f>
        <v>446.875</v>
      </c>
      <c r="E4" s="4" t="n">
        <f aca="false">IF(A4&lt;=Inputs!B4,0,MIN($J$1-D4,C4))</f>
        <v>0</v>
      </c>
      <c r="F4" s="4" t="n">
        <f aca="false">D4+E4</f>
        <v>446.875</v>
      </c>
      <c r="G4" s="4" t="n">
        <f aca="false">C4-E4</f>
        <v>165000</v>
      </c>
      <c r="J4" s="4"/>
    </row>
    <row r="5" customFormat="false" ht="15" hidden="false" customHeight="false" outlineLevel="0" collapsed="false">
      <c r="A5" s="0" t="n">
        <v>4</v>
      </c>
      <c r="B5" s="0" t="n">
        <f aca="false">INT((A5-1)/12)+1</f>
        <v>1</v>
      </c>
      <c r="C5" s="4" t="n">
        <f aca="false">G4</f>
        <v>165000</v>
      </c>
      <c r="D5" s="4" t="n">
        <f aca="false">C5*Inputs!B3/12</f>
        <v>446.875</v>
      </c>
      <c r="E5" s="4" t="n">
        <f aca="false">IF(A5&lt;=Inputs!B4,0,MIN($J$1-D5,C5))</f>
        <v>0</v>
      </c>
      <c r="F5" s="4" t="n">
        <f aca="false">D5+E5</f>
        <v>446.875</v>
      </c>
      <c r="G5" s="4" t="n">
        <f aca="false">C5-E5</f>
        <v>165000</v>
      </c>
      <c r="J5" s="4"/>
    </row>
    <row r="6" customFormat="false" ht="15" hidden="false" customHeight="false" outlineLevel="0" collapsed="false">
      <c r="A6" s="0" t="n">
        <v>5</v>
      </c>
      <c r="B6" s="0" t="n">
        <f aca="false">INT((A6-1)/12)+1</f>
        <v>1</v>
      </c>
      <c r="C6" s="4" t="n">
        <f aca="false">G5</f>
        <v>165000</v>
      </c>
      <c r="D6" s="4" t="n">
        <f aca="false">C6*Inputs!B3/12</f>
        <v>446.875</v>
      </c>
      <c r="E6" s="4" t="n">
        <f aca="false">IF(A6&lt;=Inputs!B4,0,MIN($J$1-D6,C6))</f>
        <v>0</v>
      </c>
      <c r="F6" s="4" t="n">
        <f aca="false">D6+E6</f>
        <v>446.875</v>
      </c>
      <c r="G6" s="4" t="n">
        <f aca="false">C6-E6</f>
        <v>165000</v>
      </c>
      <c r="J6" s="4"/>
    </row>
    <row r="7" customFormat="false" ht="15" hidden="false" customHeight="false" outlineLevel="0" collapsed="false">
      <c r="A7" s="0" t="n">
        <v>6</v>
      </c>
      <c r="B7" s="0" t="n">
        <f aca="false">INT((A7-1)/12)+1</f>
        <v>1</v>
      </c>
      <c r="C7" s="4" t="n">
        <f aca="false">G6</f>
        <v>165000</v>
      </c>
      <c r="D7" s="4" t="n">
        <f aca="false">C7*Inputs!B3/12</f>
        <v>446.875</v>
      </c>
      <c r="E7" s="4" t="n">
        <f aca="false">IF(A7&lt;=Inputs!B4,0,MIN($J$1-D7,C7))</f>
        <v>0</v>
      </c>
      <c r="F7" s="4" t="n">
        <f aca="false">D7+E7</f>
        <v>446.875</v>
      </c>
      <c r="G7" s="4" t="n">
        <f aca="false">C7-E7</f>
        <v>165000</v>
      </c>
      <c r="J7" s="4"/>
    </row>
    <row r="8" customFormat="false" ht="15" hidden="false" customHeight="false" outlineLevel="0" collapsed="false">
      <c r="A8" s="0" t="n">
        <v>7</v>
      </c>
      <c r="B8" s="0" t="n">
        <f aca="false">INT((A8-1)/12)+1</f>
        <v>1</v>
      </c>
      <c r="C8" s="4" t="n">
        <f aca="false">G7</f>
        <v>165000</v>
      </c>
      <c r="D8" s="4" t="n">
        <f aca="false">C8*Inputs!B3/12</f>
        <v>446.875</v>
      </c>
      <c r="E8" s="4" t="n">
        <f aca="false">IF(A8&lt;=Inputs!B4,0,MIN($J$1-D8,C8))</f>
        <v>0</v>
      </c>
      <c r="F8" s="4" t="n">
        <f aca="false">D8+E8</f>
        <v>446.875</v>
      </c>
      <c r="G8" s="4" t="n">
        <f aca="false">C8-E8</f>
        <v>165000</v>
      </c>
      <c r="J8" s="4"/>
    </row>
    <row r="9" customFormat="false" ht="15" hidden="false" customHeight="false" outlineLevel="0" collapsed="false">
      <c r="A9" s="0" t="n">
        <v>8</v>
      </c>
      <c r="B9" s="0" t="n">
        <f aca="false">INT((A9-1)/12)+1</f>
        <v>1</v>
      </c>
      <c r="C9" s="4" t="n">
        <f aca="false">G8</f>
        <v>165000</v>
      </c>
      <c r="D9" s="4" t="n">
        <f aca="false">C9*Inputs!B3/12</f>
        <v>446.875</v>
      </c>
      <c r="E9" s="4" t="n">
        <f aca="false">IF(A9&lt;=Inputs!B4,0,MIN($J$1-D9,C9))</f>
        <v>0</v>
      </c>
      <c r="F9" s="4" t="n">
        <f aca="false">D9+E9</f>
        <v>446.875</v>
      </c>
      <c r="G9" s="4" t="n">
        <f aca="false">C9-E9</f>
        <v>165000</v>
      </c>
      <c r="J9" s="4"/>
    </row>
    <row r="10" customFormat="false" ht="15" hidden="false" customHeight="false" outlineLevel="0" collapsed="false">
      <c r="A10" s="0" t="n">
        <v>9</v>
      </c>
      <c r="B10" s="0" t="n">
        <f aca="false">INT((A10-1)/12)+1</f>
        <v>1</v>
      </c>
      <c r="C10" s="4" t="n">
        <f aca="false">G9</f>
        <v>165000</v>
      </c>
      <c r="D10" s="4" t="n">
        <f aca="false">C10*Inputs!B3/12</f>
        <v>446.875</v>
      </c>
      <c r="E10" s="4" t="n">
        <f aca="false">IF(A10&lt;=Inputs!B4,0,MIN($J$1-D10,C10))</f>
        <v>0</v>
      </c>
      <c r="F10" s="4" t="n">
        <f aca="false">D10+E10</f>
        <v>446.875</v>
      </c>
      <c r="G10" s="4" t="n">
        <f aca="false">C10-E10</f>
        <v>165000</v>
      </c>
      <c r="J10" s="4"/>
    </row>
    <row r="11" customFormat="false" ht="15" hidden="false" customHeight="false" outlineLevel="0" collapsed="false">
      <c r="A11" s="0" t="n">
        <v>10</v>
      </c>
      <c r="B11" s="0" t="n">
        <f aca="false">INT((A11-1)/12)+1</f>
        <v>1</v>
      </c>
      <c r="C11" s="4" t="n">
        <f aca="false">G10</f>
        <v>165000</v>
      </c>
      <c r="D11" s="4" t="n">
        <f aca="false">C11*Inputs!B3/12</f>
        <v>446.875</v>
      </c>
      <c r="E11" s="4" t="n">
        <f aca="false">IF(A11&lt;=Inputs!B4,0,MIN($J$1-D11,C11))</f>
        <v>0</v>
      </c>
      <c r="F11" s="4" t="n">
        <f aca="false">D11+E11</f>
        <v>446.875</v>
      </c>
      <c r="G11" s="4" t="n">
        <f aca="false">C11-E11</f>
        <v>165000</v>
      </c>
      <c r="J11" s="4"/>
    </row>
    <row r="12" customFormat="false" ht="15" hidden="false" customHeight="false" outlineLevel="0" collapsed="false">
      <c r="A12" s="0" t="n">
        <v>11</v>
      </c>
      <c r="B12" s="0" t="n">
        <f aca="false">INT((A12-1)/12)+1</f>
        <v>1</v>
      </c>
      <c r="C12" s="4" t="n">
        <f aca="false">G11</f>
        <v>165000</v>
      </c>
      <c r="D12" s="4" t="n">
        <f aca="false">C12*Inputs!B3/12</f>
        <v>446.875</v>
      </c>
      <c r="E12" s="4" t="n">
        <f aca="false">IF(A12&lt;=Inputs!B4,0,MIN($J$1-D12,C12))</f>
        <v>0</v>
      </c>
      <c r="F12" s="4" t="n">
        <f aca="false">D12+E12</f>
        <v>446.875</v>
      </c>
      <c r="G12" s="4" t="n">
        <f aca="false">C12-E12</f>
        <v>165000</v>
      </c>
      <c r="J12" s="4"/>
    </row>
    <row r="13" customFormat="false" ht="15" hidden="false" customHeight="false" outlineLevel="0" collapsed="false">
      <c r="A13" s="0" t="n">
        <v>12</v>
      </c>
      <c r="B13" s="0" t="n">
        <f aca="false">INT((A13-1)/12)+1</f>
        <v>1</v>
      </c>
      <c r="C13" s="4" t="n">
        <f aca="false">G12</f>
        <v>165000</v>
      </c>
      <c r="D13" s="4" t="n">
        <f aca="false">C13*Inputs!B3/12</f>
        <v>446.875</v>
      </c>
      <c r="E13" s="4" t="n">
        <f aca="false">IF(A13&lt;=Inputs!B4,0,MIN($J$1-D13,C13))</f>
        <v>0</v>
      </c>
      <c r="F13" s="4" t="n">
        <f aca="false">D13+E13</f>
        <v>446.875</v>
      </c>
      <c r="G13" s="4" t="n">
        <f aca="false">C13-E13</f>
        <v>165000</v>
      </c>
      <c r="J13" s="4"/>
    </row>
    <row r="14" customFormat="false" ht="15" hidden="false" customHeight="false" outlineLevel="0" collapsed="false">
      <c r="A14" s="0" t="n">
        <v>13</v>
      </c>
      <c r="B14" s="0" t="n">
        <f aca="false">INT((A14-1)/12)+1</f>
        <v>2</v>
      </c>
      <c r="C14" s="4" t="n">
        <f aca="false">G13</f>
        <v>165000</v>
      </c>
      <c r="D14" s="4" t="n">
        <f aca="false">C14*Inputs!B3/12</f>
        <v>446.875</v>
      </c>
      <c r="E14" s="4" t="n">
        <f aca="false">IF(A14&lt;=Inputs!B4,0,MIN($J$1-D14,C14))</f>
        <v>1317.27062737988</v>
      </c>
      <c r="F14" s="4" t="n">
        <f aca="false">D14+E14</f>
        <v>1764.14562737988</v>
      </c>
      <c r="G14" s="4" t="n">
        <f aca="false">C14-E14</f>
        <v>163682.72937262</v>
      </c>
      <c r="J14" s="4"/>
    </row>
    <row r="15" customFormat="false" ht="15" hidden="false" customHeight="false" outlineLevel="0" collapsed="false">
      <c r="A15" s="0" t="n">
        <v>14</v>
      </c>
      <c r="B15" s="0" t="n">
        <f aca="false">INT((A15-1)/12)+1</f>
        <v>2</v>
      </c>
      <c r="C15" s="4" t="n">
        <f aca="false">G14</f>
        <v>163682.72937262</v>
      </c>
      <c r="D15" s="4" t="n">
        <f aca="false">C15*Inputs!B3/12</f>
        <v>443.307392050846</v>
      </c>
      <c r="E15" s="4" t="n">
        <f aca="false">IF(A15&lt;=Inputs!B4,0,MIN($J$1-D15,C15))</f>
        <v>1320.83823532904</v>
      </c>
      <c r="F15" s="4" t="n">
        <f aca="false">D15+E15</f>
        <v>1764.14562737988</v>
      </c>
      <c r="G15" s="4" t="n">
        <f aca="false">C15-E15</f>
        <v>162361.891137291</v>
      </c>
      <c r="J15" s="4"/>
    </row>
    <row r="16" customFormat="false" ht="15" hidden="false" customHeight="false" outlineLevel="0" collapsed="false">
      <c r="A16" s="0" t="n">
        <v>15</v>
      </c>
      <c r="B16" s="0" t="n">
        <f aca="false">INT((A16-1)/12)+1</f>
        <v>2</v>
      </c>
      <c r="C16" s="4" t="n">
        <f aca="false">G15</f>
        <v>162361.891137291</v>
      </c>
      <c r="D16" s="4" t="n">
        <f aca="false">C16*Inputs!B3/12</f>
        <v>439.730121830163</v>
      </c>
      <c r="E16" s="4" t="n">
        <f aca="false">IF(A16&lt;=Inputs!B4,0,MIN($J$1-D16,C16))</f>
        <v>1324.41550554972</v>
      </c>
      <c r="F16" s="4" t="n">
        <f aca="false">D16+E16</f>
        <v>1764.14562737988</v>
      </c>
      <c r="G16" s="4" t="n">
        <f aca="false">C16-E16</f>
        <v>161037.475631741</v>
      </c>
      <c r="J16" s="4"/>
    </row>
    <row r="17" customFormat="false" ht="15" hidden="false" customHeight="false" outlineLevel="0" collapsed="false">
      <c r="A17" s="0" t="n">
        <v>16</v>
      </c>
      <c r="B17" s="0" t="n">
        <f aca="false">INT((A17-1)/12)+1</f>
        <v>2</v>
      </c>
      <c r="C17" s="4" t="n">
        <f aca="false">G16</f>
        <v>161037.475631741</v>
      </c>
      <c r="D17" s="4" t="n">
        <f aca="false">C17*Inputs!B3/12</f>
        <v>436.1431631693</v>
      </c>
      <c r="E17" s="4" t="n">
        <f aca="false">IF(A17&lt;=Inputs!B4,0,MIN($J$1-D17,C17))</f>
        <v>1328.00246421058</v>
      </c>
      <c r="F17" s="4" t="n">
        <f aca="false">D17+E17</f>
        <v>1764.14562737988</v>
      </c>
      <c r="G17" s="4" t="n">
        <f aca="false">C17-E17</f>
        <v>159709.473167531</v>
      </c>
      <c r="J17" s="4"/>
    </row>
    <row r="18" customFormat="false" ht="15" hidden="false" customHeight="false" outlineLevel="0" collapsed="false">
      <c r="A18" s="0" t="n">
        <v>17</v>
      </c>
      <c r="B18" s="0" t="n">
        <f aca="false">INT((A18-1)/12)+1</f>
        <v>2</v>
      </c>
      <c r="C18" s="4" t="n">
        <f aca="false">G17</f>
        <v>159709.473167531</v>
      </c>
      <c r="D18" s="4" t="n">
        <f aca="false">C18*Inputs!B3/12</f>
        <v>432.546489828729</v>
      </c>
      <c r="E18" s="4" t="n">
        <f aca="false">IF(A18&lt;=Inputs!B4,0,MIN($J$1-D18,C18))</f>
        <v>1331.59913755115</v>
      </c>
      <c r="F18" s="4" t="n">
        <f aca="false">D18+E18</f>
        <v>1764.14562737988</v>
      </c>
      <c r="G18" s="4" t="n">
        <f aca="false">C18-E18</f>
        <v>158377.87402998</v>
      </c>
      <c r="J18" s="4"/>
    </row>
    <row r="19" customFormat="false" ht="15" hidden="false" customHeight="false" outlineLevel="0" collapsed="false">
      <c r="A19" s="0" t="n">
        <v>18</v>
      </c>
      <c r="B19" s="0" t="n">
        <f aca="false">INT((A19-1)/12)+1</f>
        <v>2</v>
      </c>
      <c r="C19" s="4" t="n">
        <f aca="false">G18</f>
        <v>158377.87402998</v>
      </c>
      <c r="D19" s="4" t="n">
        <f aca="false">C19*Inputs!B3/12</f>
        <v>428.940075497861</v>
      </c>
      <c r="E19" s="4" t="n">
        <f aca="false">IF(A19&lt;=Inputs!B4,0,MIN($J$1-D19,C19))</f>
        <v>1335.20555188202</v>
      </c>
      <c r="F19" s="4" t="n">
        <f aca="false">D19+E19</f>
        <v>1764.14562737988</v>
      </c>
      <c r="G19" s="4" t="n">
        <f aca="false">C19-E19</f>
        <v>157042.668478098</v>
      </c>
      <c r="J19" s="4"/>
    </row>
    <row r="20" customFormat="false" ht="15" hidden="false" customHeight="false" outlineLevel="0" collapsed="false">
      <c r="A20" s="0" t="n">
        <v>19</v>
      </c>
      <c r="B20" s="0" t="n">
        <f aca="false">INT((A20-1)/12)+1</f>
        <v>2</v>
      </c>
      <c r="C20" s="4" t="n">
        <f aca="false">G19</f>
        <v>157042.668478098</v>
      </c>
      <c r="D20" s="4" t="n">
        <f aca="false">C20*Inputs!B3/12</f>
        <v>425.323893794848</v>
      </c>
      <c r="E20" s="4" t="n">
        <f aca="false">IF(A20&lt;=Inputs!B4,0,MIN($J$1-D20,C20))</f>
        <v>1338.82173358504</v>
      </c>
      <c r="F20" s="4" t="n">
        <f aca="false">D20+E20</f>
        <v>1764.14562737988</v>
      </c>
      <c r="G20" s="4" t="n">
        <f aca="false">C20-E20</f>
        <v>155703.846744513</v>
      </c>
      <c r="J20" s="4"/>
    </row>
    <row r="21" customFormat="false" ht="15" hidden="false" customHeight="false" outlineLevel="0" collapsed="false">
      <c r="A21" s="0" t="n">
        <v>20</v>
      </c>
      <c r="B21" s="0" t="n">
        <f aca="false">INT((A21-1)/12)+1</f>
        <v>2</v>
      </c>
      <c r="C21" s="4" t="n">
        <f aca="false">G20</f>
        <v>155703.846744513</v>
      </c>
      <c r="D21" s="4" t="n">
        <f aca="false">C21*Inputs!B3/12</f>
        <v>421.697918266388</v>
      </c>
      <c r="E21" s="4" t="n">
        <f aca="false">IF(A21&lt;=Inputs!B4,0,MIN($J$1-D21,C21))</f>
        <v>1342.44770911349</v>
      </c>
      <c r="F21" s="4" t="n">
        <f aca="false">D21+E21</f>
        <v>1764.14562737988</v>
      </c>
      <c r="G21" s="4" t="n">
        <f aca="false">C21-E21</f>
        <v>154361.399035399</v>
      </c>
      <c r="J21" s="4"/>
    </row>
    <row r="22" customFormat="false" ht="15" hidden="false" customHeight="false" outlineLevel="0" collapsed="false">
      <c r="A22" s="0" t="n">
        <v>21</v>
      </c>
      <c r="B22" s="0" t="n">
        <f aca="false">INT((A22-1)/12)+1</f>
        <v>2</v>
      </c>
      <c r="C22" s="4" t="n">
        <f aca="false">G21</f>
        <v>154361.399035399</v>
      </c>
      <c r="D22" s="4" t="n">
        <f aca="false">C22*Inputs!B3/12</f>
        <v>418.062122387539</v>
      </c>
      <c r="E22" s="4" t="n">
        <f aca="false">IF(A22&lt;=Inputs!B4,0,MIN($J$1-D22,C22))</f>
        <v>1346.08350499234</v>
      </c>
      <c r="F22" s="4" t="n">
        <f aca="false">D22+E22</f>
        <v>1764.14562737988</v>
      </c>
      <c r="G22" s="4" t="n">
        <f aca="false">C22-E22</f>
        <v>153015.315530407</v>
      </c>
      <c r="J22" s="4"/>
    </row>
    <row r="23" customFormat="false" ht="15" hidden="false" customHeight="false" outlineLevel="0" collapsed="false">
      <c r="A23" s="0" t="n">
        <v>22</v>
      </c>
      <c r="B23" s="0" t="n">
        <f aca="false">INT((A23-1)/12)+1</f>
        <v>2</v>
      </c>
      <c r="C23" s="4" t="n">
        <f aca="false">G22</f>
        <v>153015.315530407</v>
      </c>
      <c r="D23" s="4" t="n">
        <f aca="false">C23*Inputs!B3/12</f>
        <v>414.416479561518</v>
      </c>
      <c r="E23" s="4" t="n">
        <f aca="false">IF(A23&lt;=Inputs!B4,0,MIN($J$1-D23,C23))</f>
        <v>1349.72914781836</v>
      </c>
      <c r="F23" s="4" t="n">
        <f aca="false">D23+E23</f>
        <v>1764.14562737988</v>
      </c>
      <c r="G23" s="4" t="n">
        <f aca="false">C23-E23</f>
        <v>151665.586382588</v>
      </c>
      <c r="J23" s="4"/>
    </row>
    <row r="24" customFormat="false" ht="15" hidden="false" customHeight="false" outlineLevel="0" collapsed="false">
      <c r="A24" s="0" t="n">
        <v>23</v>
      </c>
      <c r="B24" s="0" t="n">
        <f aca="false">INT((A24-1)/12)+1</f>
        <v>2</v>
      </c>
      <c r="C24" s="4" t="n">
        <f aca="false">G23</f>
        <v>151665.586382588</v>
      </c>
      <c r="D24" s="4" t="n">
        <f aca="false">C24*Inputs!B3/12</f>
        <v>410.76096311951</v>
      </c>
      <c r="E24" s="4" t="n">
        <f aca="false">IF(A24&lt;=Inputs!B4,0,MIN($J$1-D24,C24))</f>
        <v>1353.38466426037</v>
      </c>
      <c r="F24" s="4" t="n">
        <f aca="false">D24+E24</f>
        <v>1764.14562737988</v>
      </c>
      <c r="G24" s="4" t="n">
        <f aca="false">C24-E24</f>
        <v>150312.201718328</v>
      </c>
      <c r="J24" s="4"/>
    </row>
    <row r="25" customFormat="false" ht="15" hidden="false" customHeight="false" outlineLevel="0" collapsed="false">
      <c r="A25" s="0" t="n">
        <v>24</v>
      </c>
      <c r="B25" s="0" t="n">
        <f aca="false">INT((A25-1)/12)+1</f>
        <v>2</v>
      </c>
      <c r="C25" s="4" t="n">
        <f aca="false">G24</f>
        <v>150312.201718328</v>
      </c>
      <c r="D25" s="4" t="n">
        <f aca="false">C25*Inputs!B3/12</f>
        <v>407.095546320472</v>
      </c>
      <c r="E25" s="4" t="n">
        <f aca="false">IF(A25&lt;=Inputs!B4,0,MIN($J$1-D25,C25))</f>
        <v>1357.05008105941</v>
      </c>
      <c r="F25" s="4" t="n">
        <f aca="false">D25+E25</f>
        <v>1764.14562737988</v>
      </c>
      <c r="G25" s="4" t="n">
        <f aca="false">C25-E25</f>
        <v>148955.151637269</v>
      </c>
      <c r="J25" s="4"/>
    </row>
    <row r="26" customFormat="false" ht="15" hidden="false" customHeight="false" outlineLevel="0" collapsed="false">
      <c r="A26" s="0" t="n">
        <v>25</v>
      </c>
      <c r="B26" s="0" t="n">
        <f aca="false">INT((A26-1)/12)+1</f>
        <v>3</v>
      </c>
      <c r="C26" s="4" t="n">
        <f aca="false">G25</f>
        <v>148955.151637269</v>
      </c>
      <c r="D26" s="4" t="n">
        <f aca="false">C26*Inputs!B3/12</f>
        <v>403.420202350936</v>
      </c>
      <c r="E26" s="4" t="n">
        <f aca="false">IF(A26&lt;=Inputs!B4,0,MIN($J$1-D26,C26))</f>
        <v>1360.72542502895</v>
      </c>
      <c r="F26" s="4" t="n">
        <f aca="false">D26+E26</f>
        <v>1764.14562737988</v>
      </c>
      <c r="G26" s="4" t="n">
        <f aca="false">C26-E26</f>
        <v>147594.42621224</v>
      </c>
      <c r="J26" s="4"/>
    </row>
    <row r="27" customFormat="false" ht="15" hidden="false" customHeight="false" outlineLevel="0" collapsed="false">
      <c r="A27" s="0" t="n">
        <v>26</v>
      </c>
      <c r="B27" s="0" t="n">
        <f aca="false">INT((A27-1)/12)+1</f>
        <v>3</v>
      </c>
      <c r="C27" s="4" t="n">
        <f aca="false">G26</f>
        <v>147594.42621224</v>
      </c>
      <c r="D27" s="4" t="n">
        <f aca="false">C27*Inputs!B3/12</f>
        <v>399.734904324816</v>
      </c>
      <c r="E27" s="4" t="n">
        <f aca="false">IF(A27&lt;=Inputs!B4,0,MIN($J$1-D27,C27))</f>
        <v>1364.41072305507</v>
      </c>
      <c r="F27" s="4" t="n">
        <f aca="false">D27+E27</f>
        <v>1764.14562737988</v>
      </c>
      <c r="G27" s="4" t="n">
        <f aca="false">C27-E27</f>
        <v>146230.015489185</v>
      </c>
      <c r="J27" s="4"/>
    </row>
    <row r="28" customFormat="false" ht="15" hidden="false" customHeight="false" outlineLevel="0" collapsed="false">
      <c r="A28" s="0" t="n">
        <v>27</v>
      </c>
      <c r="B28" s="0" t="n">
        <f aca="false">INT((A28-1)/12)+1</f>
        <v>3</v>
      </c>
      <c r="C28" s="4" t="n">
        <f aca="false">G27</f>
        <v>146230.015489185</v>
      </c>
      <c r="D28" s="4" t="n">
        <f aca="false">C28*Inputs!B3/12</f>
        <v>396.039625283208</v>
      </c>
      <c r="E28" s="4" t="n">
        <f aca="false">IF(A28&lt;=Inputs!B4,0,MIN($J$1-D28,C28))</f>
        <v>1368.10600209667</v>
      </c>
      <c r="F28" s="4" t="n">
        <f aca="false">D28+E28</f>
        <v>1764.14562737988</v>
      </c>
      <c r="G28" s="4" t="n">
        <f aca="false">C28-E28</f>
        <v>144861.909487088</v>
      </c>
      <c r="J28" s="4"/>
    </row>
    <row r="29" customFormat="false" ht="15" hidden="false" customHeight="false" outlineLevel="0" collapsed="false">
      <c r="A29" s="0" t="n">
        <v>28</v>
      </c>
      <c r="B29" s="0" t="n">
        <f aca="false">INT((A29-1)/12)+1</f>
        <v>3</v>
      </c>
      <c r="C29" s="4" t="n">
        <f aca="false">G28</f>
        <v>144861.909487088</v>
      </c>
      <c r="D29" s="4" t="n">
        <f aca="false">C29*Inputs!B3/12</f>
        <v>392.334338194196</v>
      </c>
      <c r="E29" s="4" t="n">
        <f aca="false">IF(A29&lt;=Inputs!B4,0,MIN($J$1-D29,C29))</f>
        <v>1371.81128918569</v>
      </c>
      <c r="F29" s="4" t="n">
        <f aca="false">D29+E29</f>
        <v>1764.14562737988</v>
      </c>
      <c r="G29" s="4" t="n">
        <f aca="false">C29-E29</f>
        <v>143490.098197902</v>
      </c>
      <c r="J29" s="4"/>
    </row>
    <row r="30" customFormat="false" ht="15" hidden="false" customHeight="false" outlineLevel="0" collapsed="false">
      <c r="A30" s="0" t="n">
        <v>29</v>
      </c>
      <c r="B30" s="0" t="n">
        <f aca="false">INT((A30-1)/12)+1</f>
        <v>3</v>
      </c>
      <c r="C30" s="4" t="n">
        <f aca="false">G29</f>
        <v>143490.098197902</v>
      </c>
      <c r="D30" s="4" t="n">
        <f aca="false">C30*Inputs!B3/12</f>
        <v>388.619015952652</v>
      </c>
      <c r="E30" s="4" t="n">
        <f aca="false">IF(A30&lt;=Inputs!B4,0,MIN($J$1-D30,C30))</f>
        <v>1375.52661142723</v>
      </c>
      <c r="F30" s="4" t="n">
        <f aca="false">D30+E30</f>
        <v>1764.14562737988</v>
      </c>
      <c r="G30" s="4" t="n">
        <f aca="false">C30-E30</f>
        <v>142114.571586475</v>
      </c>
      <c r="J30" s="4"/>
    </row>
    <row r="31" customFormat="false" ht="15" hidden="false" customHeight="false" outlineLevel="0" collapsed="false">
      <c r="A31" s="0" t="n">
        <v>30</v>
      </c>
      <c r="B31" s="0" t="n">
        <f aca="false">INT((A31-1)/12)+1</f>
        <v>3</v>
      </c>
      <c r="C31" s="4" t="n">
        <f aca="false">G30</f>
        <v>142114.571586475</v>
      </c>
      <c r="D31" s="4" t="n">
        <f aca="false">C31*Inputs!B3/12</f>
        <v>384.893631380036</v>
      </c>
      <c r="E31" s="4" t="n">
        <f aca="false">IF(A31&lt;=Inputs!B4,0,MIN($J$1-D31,C31))</f>
        <v>1379.25199599985</v>
      </c>
      <c r="F31" s="4" t="n">
        <f aca="false">D31+E31</f>
        <v>1764.14562737988</v>
      </c>
      <c r="G31" s="4" t="n">
        <f aca="false">C31-E31</f>
        <v>140735.319590475</v>
      </c>
      <c r="J31" s="4"/>
    </row>
    <row r="32" customFormat="false" ht="15" hidden="false" customHeight="false" outlineLevel="0" collapsed="false">
      <c r="A32" s="0" t="n">
        <v>31</v>
      </c>
      <c r="B32" s="0" t="n">
        <f aca="false">INT((A32-1)/12)+1</f>
        <v>3</v>
      </c>
      <c r="C32" s="4" t="n">
        <f aca="false">G31</f>
        <v>140735.319590475</v>
      </c>
      <c r="D32" s="4" t="n">
        <f aca="false">C32*Inputs!B3/12</f>
        <v>381.158157224203</v>
      </c>
      <c r="E32" s="4" t="n">
        <f aca="false">IF(A32&lt;=Inputs!B4,0,MIN($J$1-D32,C32))</f>
        <v>1382.98747015568</v>
      </c>
      <c r="F32" s="4" t="n">
        <f aca="false">D32+E32</f>
        <v>1764.14562737988</v>
      </c>
      <c r="G32" s="4" t="n">
        <f aca="false">C32-E32</f>
        <v>139352.332120319</v>
      </c>
      <c r="J32" s="4"/>
    </row>
    <row r="33" customFormat="false" ht="15" hidden="false" customHeight="false" outlineLevel="0" collapsed="false">
      <c r="A33" s="0" t="n">
        <v>32</v>
      </c>
      <c r="B33" s="0" t="n">
        <f aca="false">INT((A33-1)/12)+1</f>
        <v>3</v>
      </c>
      <c r="C33" s="4" t="n">
        <f aca="false">G32</f>
        <v>139352.332120319</v>
      </c>
      <c r="D33" s="4" t="n">
        <f aca="false">C33*Inputs!B3/12</f>
        <v>377.412566159198</v>
      </c>
      <c r="E33" s="4" t="n">
        <f aca="false">IF(A33&lt;=Inputs!B4,0,MIN($J$1-D33,C33))</f>
        <v>1386.73306122068</v>
      </c>
      <c r="F33" s="4" t="n">
        <f aca="false">D33+E33</f>
        <v>1764.14562737988</v>
      </c>
      <c r="G33" s="4" t="n">
        <f aca="false">C33-E33</f>
        <v>137965.599059099</v>
      </c>
      <c r="J33" s="4"/>
    </row>
    <row r="34" customFormat="false" ht="15" hidden="false" customHeight="false" outlineLevel="0" collapsed="false">
      <c r="A34" s="0" t="n">
        <v>33</v>
      </c>
      <c r="B34" s="0" t="n">
        <f aca="false">INT((A34-1)/12)+1</f>
        <v>3</v>
      </c>
      <c r="C34" s="4" t="n">
        <f aca="false">G33</f>
        <v>137965.599059099</v>
      </c>
      <c r="D34" s="4" t="n">
        <f aca="false">C34*Inputs!B3/12</f>
        <v>373.656830785059</v>
      </c>
      <c r="E34" s="4" t="n">
        <f aca="false">IF(A34&lt;=Inputs!B4,0,MIN($J$1-D34,C34))</f>
        <v>1390.48879659482</v>
      </c>
      <c r="F34" s="4" t="n">
        <f aca="false">D34+E34</f>
        <v>1764.14562737988</v>
      </c>
      <c r="G34" s="4" t="n">
        <f aca="false">C34-E34</f>
        <v>136575.110262504</v>
      </c>
      <c r="J34" s="4"/>
    </row>
    <row r="35" customFormat="false" ht="15" hidden="false" customHeight="false" outlineLevel="0" collapsed="false">
      <c r="A35" s="0" t="n">
        <v>34</v>
      </c>
      <c r="B35" s="0" t="n">
        <f aca="false">INT((A35-1)/12)+1</f>
        <v>3</v>
      </c>
      <c r="C35" s="4" t="n">
        <f aca="false">G34</f>
        <v>136575.110262504</v>
      </c>
      <c r="D35" s="4" t="n">
        <f aca="false">C35*Inputs!B3/12</f>
        <v>369.890923627615</v>
      </c>
      <c r="E35" s="4" t="n">
        <f aca="false">IF(A35&lt;=Inputs!B4,0,MIN($J$1-D35,C35))</f>
        <v>1394.25470375227</v>
      </c>
      <c r="F35" s="4" t="n">
        <f aca="false">D35+E35</f>
        <v>1764.14562737988</v>
      </c>
      <c r="G35" s="4" t="n">
        <f aca="false">C35-E35</f>
        <v>135180.855558752</v>
      </c>
      <c r="J35" s="4"/>
    </row>
    <row r="36" customFormat="false" ht="15" hidden="false" customHeight="false" outlineLevel="0" collapsed="false">
      <c r="A36" s="0" t="n">
        <v>35</v>
      </c>
      <c r="B36" s="0" t="n">
        <f aca="false">INT((A36-1)/12)+1</f>
        <v>3</v>
      </c>
      <c r="C36" s="4" t="n">
        <f aca="false">G35</f>
        <v>135180.855558752</v>
      </c>
      <c r="D36" s="4" t="n">
        <f aca="false">C36*Inputs!B3/12</f>
        <v>366.114817138286</v>
      </c>
      <c r="E36" s="4" t="n">
        <f aca="false">IF(A36&lt;=Inputs!B4,0,MIN($J$1-D36,C36))</f>
        <v>1398.0308102416</v>
      </c>
      <c r="F36" s="4" t="n">
        <f aca="false">D36+E36</f>
        <v>1764.14562737988</v>
      </c>
      <c r="G36" s="4" t="n">
        <f aca="false">C36-E36</f>
        <v>133782.82474851</v>
      </c>
      <c r="J36" s="4"/>
    </row>
    <row r="37" customFormat="false" ht="15" hidden="false" customHeight="false" outlineLevel="0" collapsed="false">
      <c r="A37" s="0" t="n">
        <v>36</v>
      </c>
      <c r="B37" s="0" t="n">
        <f aca="false">INT((A37-1)/12)+1</f>
        <v>3</v>
      </c>
      <c r="C37" s="4" t="n">
        <f aca="false">G36</f>
        <v>133782.82474851</v>
      </c>
      <c r="D37" s="4" t="n">
        <f aca="false">C37*Inputs!B3/12</f>
        <v>362.328483693882</v>
      </c>
      <c r="E37" s="4" t="n">
        <f aca="false">IF(A37&lt;=Inputs!B4,0,MIN($J$1-D37,C37))</f>
        <v>1401.817143686</v>
      </c>
      <c r="F37" s="4" t="n">
        <f aca="false">D37+E37</f>
        <v>1764.14562737988</v>
      </c>
      <c r="G37" s="4" t="n">
        <f aca="false">C37-E37</f>
        <v>132381.007604824</v>
      </c>
      <c r="J37" s="4"/>
    </row>
    <row r="38" customFormat="false" ht="15" hidden="false" customHeight="false" outlineLevel="0" collapsed="false">
      <c r="A38" s="0" t="n">
        <v>37</v>
      </c>
      <c r="B38" s="0" t="n">
        <f aca="false">INT((A38-1)/12)+1</f>
        <v>4</v>
      </c>
      <c r="C38" s="4" t="n">
        <f aca="false">G37</f>
        <v>132381.007604824</v>
      </c>
      <c r="D38" s="4" t="n">
        <f aca="false">C38*Inputs!B3/12</f>
        <v>358.531895596399</v>
      </c>
      <c r="E38" s="4" t="n">
        <f aca="false">IF(A38&lt;=Inputs!B4,0,MIN($J$1-D38,C38))</f>
        <v>1405.61373178348</v>
      </c>
      <c r="F38" s="4" t="n">
        <f aca="false">D38+E38</f>
        <v>1764.14562737988</v>
      </c>
      <c r="G38" s="4" t="n">
        <f aca="false">C38-E38</f>
        <v>130975.393873041</v>
      </c>
      <c r="J38" s="4"/>
    </row>
    <row r="39" customFormat="false" ht="15" hidden="false" customHeight="false" outlineLevel="0" collapsed="false">
      <c r="A39" s="0" t="n">
        <v>38</v>
      </c>
      <c r="B39" s="0" t="n">
        <f aca="false">INT((A39-1)/12)+1</f>
        <v>4</v>
      </c>
      <c r="C39" s="4" t="n">
        <f aca="false">G38</f>
        <v>130975.393873041</v>
      </c>
      <c r="D39" s="4" t="n">
        <f aca="false">C39*Inputs!B3/12</f>
        <v>354.725025072818</v>
      </c>
      <c r="E39" s="4" t="n">
        <f aca="false">IF(A39&lt;=Inputs!B4,0,MIN($J$1-D39,C39))</f>
        <v>1409.42060230706</v>
      </c>
      <c r="F39" s="4" t="n">
        <f aca="false">D39+E39</f>
        <v>1764.14562737988</v>
      </c>
      <c r="G39" s="4" t="n">
        <f aca="false">C39-E39</f>
        <v>129565.973270734</v>
      </c>
      <c r="J39" s="4"/>
    </row>
    <row r="40" customFormat="false" ht="15" hidden="false" customHeight="false" outlineLevel="0" collapsed="false">
      <c r="A40" s="0" t="n">
        <v>39</v>
      </c>
      <c r="B40" s="0" t="n">
        <f aca="false">INT((A40-1)/12)+1</f>
        <v>4</v>
      </c>
      <c r="C40" s="4" t="n">
        <f aca="false">G39</f>
        <v>129565.973270734</v>
      </c>
      <c r="D40" s="4" t="n">
        <f aca="false">C40*Inputs!B3/12</f>
        <v>350.907844274903</v>
      </c>
      <c r="E40" s="4" t="n">
        <f aca="false">IF(A40&lt;=Inputs!B4,0,MIN($J$1-D40,C40))</f>
        <v>1413.23778310498</v>
      </c>
      <c r="F40" s="4" t="n">
        <f aca="false">D40+E40</f>
        <v>1764.14562737988</v>
      </c>
      <c r="G40" s="4" t="n">
        <f aca="false">C40-E40</f>
        <v>128152.735487629</v>
      </c>
      <c r="J40" s="4"/>
    </row>
    <row r="41" customFormat="false" ht="15" hidden="false" customHeight="false" outlineLevel="0" collapsed="false">
      <c r="A41" s="0" t="n">
        <v>40</v>
      </c>
      <c r="B41" s="0" t="n">
        <f aca="false">INT((A41-1)/12)+1</f>
        <v>4</v>
      </c>
      <c r="C41" s="4" t="n">
        <f aca="false">G40</f>
        <v>128152.735487629</v>
      </c>
      <c r="D41" s="4" t="n">
        <f aca="false">C41*Inputs!B3/12</f>
        <v>347.080325278994</v>
      </c>
      <c r="E41" s="4" t="n">
        <f aca="false">IF(A41&lt;=Inputs!B4,0,MIN($J$1-D41,C41))</f>
        <v>1417.06530210089</v>
      </c>
      <c r="F41" s="4" t="n">
        <f aca="false">D41+E41</f>
        <v>1764.14562737988</v>
      </c>
      <c r="G41" s="4" t="n">
        <f aca="false">C41-E41</f>
        <v>126735.670185528</v>
      </c>
      <c r="J41" s="4"/>
    </row>
    <row r="42" customFormat="false" ht="15" hidden="false" customHeight="false" outlineLevel="0" collapsed="false">
      <c r="A42" s="0" t="n">
        <v>41</v>
      </c>
      <c r="B42" s="0" t="n">
        <f aca="false">INT((A42-1)/12)+1</f>
        <v>4</v>
      </c>
      <c r="C42" s="4" t="n">
        <f aca="false">G41</f>
        <v>126735.670185528</v>
      </c>
      <c r="D42" s="4" t="n">
        <f aca="false">C42*Inputs!B3/12</f>
        <v>343.242440085804</v>
      </c>
      <c r="E42" s="4" t="n">
        <f aca="false">IF(A42&lt;=Inputs!B4,0,MIN($J$1-D42,C42))</f>
        <v>1420.90318729408</v>
      </c>
      <c r="F42" s="4" t="n">
        <f aca="false">D42+E42</f>
        <v>1764.14562737988</v>
      </c>
      <c r="G42" s="4" t="n">
        <f aca="false">C42-E42</f>
        <v>125314.766998234</v>
      </c>
      <c r="J42" s="4"/>
    </row>
    <row r="43" customFormat="false" ht="15" hidden="false" customHeight="false" outlineLevel="0" collapsed="false">
      <c r="A43" s="0" t="n">
        <v>42</v>
      </c>
      <c r="B43" s="0" t="n">
        <f aca="false">INT((A43-1)/12)+1</f>
        <v>4</v>
      </c>
      <c r="C43" s="4" t="n">
        <f aca="false">G42</f>
        <v>125314.766998234</v>
      </c>
      <c r="D43" s="4" t="n">
        <f aca="false">C43*Inputs!B3/12</f>
        <v>339.394160620216</v>
      </c>
      <c r="E43" s="4" t="n">
        <f aca="false">IF(A43&lt;=Inputs!B4,0,MIN($J$1-D43,C43))</f>
        <v>1424.75146675967</v>
      </c>
      <c r="F43" s="4" t="n">
        <f aca="false">D43+E43</f>
        <v>1764.14562737988</v>
      </c>
      <c r="G43" s="4" t="n">
        <f aca="false">C43-E43</f>
        <v>123890.015531474</v>
      </c>
      <c r="J43" s="4"/>
    </row>
    <row r="44" customFormat="false" ht="15" hidden="false" customHeight="false" outlineLevel="0" collapsed="false">
      <c r="A44" s="0" t="n">
        <v>43</v>
      </c>
      <c r="B44" s="0" t="n">
        <f aca="false">INT((A44-1)/12)+1</f>
        <v>4</v>
      </c>
      <c r="C44" s="4" t="n">
        <f aca="false">G43</f>
        <v>123890.015531474</v>
      </c>
      <c r="D44" s="4" t="n">
        <f aca="false">C44*Inputs!B3/12</f>
        <v>335.535458731075</v>
      </c>
      <c r="E44" s="4" t="n">
        <f aca="false">IF(A44&lt;=Inputs!B4,0,MIN($J$1-D44,C44))</f>
        <v>1428.61016864881</v>
      </c>
      <c r="F44" s="4" t="n">
        <f aca="false">D44+E44</f>
        <v>1764.14562737988</v>
      </c>
      <c r="G44" s="4" t="n">
        <f aca="false">C44-E44</f>
        <v>122461.405362825</v>
      </c>
      <c r="J44" s="4"/>
    </row>
    <row r="45" customFormat="false" ht="15" hidden="false" customHeight="false" outlineLevel="0" collapsed="false">
      <c r="A45" s="0" t="n">
        <v>44</v>
      </c>
      <c r="B45" s="0" t="n">
        <f aca="false">INT((A45-1)/12)+1</f>
        <v>4</v>
      </c>
      <c r="C45" s="4" t="n">
        <f aca="false">G44</f>
        <v>122461.405362825</v>
      </c>
      <c r="D45" s="4" t="n">
        <f aca="false">C45*Inputs!B3/12</f>
        <v>331.666306190985</v>
      </c>
      <c r="E45" s="4" t="n">
        <f aca="false">IF(A45&lt;=Inputs!B4,0,MIN($J$1-D45,C45))</f>
        <v>1432.4793211889</v>
      </c>
      <c r="F45" s="4" t="n">
        <f aca="false">D45+E45</f>
        <v>1764.14562737988</v>
      </c>
      <c r="G45" s="4" t="n">
        <f aca="false">C45-E45</f>
        <v>121028.926041636</v>
      </c>
      <c r="J45" s="4"/>
    </row>
    <row r="46" customFormat="false" ht="15" hidden="false" customHeight="false" outlineLevel="0" collapsed="false">
      <c r="A46" s="0" t="n">
        <v>45</v>
      </c>
      <c r="B46" s="0" t="n">
        <f aca="false">INT((A46-1)/12)+1</f>
        <v>4</v>
      </c>
      <c r="C46" s="4" t="n">
        <f aca="false">G45</f>
        <v>121028.926041636</v>
      </c>
      <c r="D46" s="4" t="n">
        <f aca="false">C46*Inputs!B3/12</f>
        <v>327.786674696098</v>
      </c>
      <c r="E46" s="4" t="n">
        <f aca="false">IF(A46&lt;=Inputs!B4,0,MIN($J$1-D46,C46))</f>
        <v>1436.35895268378</v>
      </c>
      <c r="F46" s="4" t="n">
        <f aca="false">D46+E46</f>
        <v>1764.14562737988</v>
      </c>
      <c r="G46" s="4" t="n">
        <f aca="false">C46-E46</f>
        <v>119592.567088952</v>
      </c>
      <c r="J46" s="4"/>
    </row>
    <row r="47" customFormat="false" ht="15" hidden="false" customHeight="false" outlineLevel="0" collapsed="false">
      <c r="A47" s="0" t="n">
        <v>46</v>
      </c>
      <c r="B47" s="0" t="n">
        <f aca="false">INT((A47-1)/12)+1</f>
        <v>4</v>
      </c>
      <c r="C47" s="4" t="n">
        <f aca="false">G46</f>
        <v>119592.567088952</v>
      </c>
      <c r="D47" s="4" t="n">
        <f aca="false">C47*Inputs!B3/12</f>
        <v>323.896535865913</v>
      </c>
      <c r="E47" s="4" t="n">
        <f aca="false">IF(A47&lt;=Inputs!B4,0,MIN($J$1-D47,C47))</f>
        <v>1440.24909151397</v>
      </c>
      <c r="F47" s="4" t="n">
        <f aca="false">D47+E47</f>
        <v>1764.14562737988</v>
      </c>
      <c r="G47" s="4" t="n">
        <f aca="false">C47-E47</f>
        <v>118152.317997438</v>
      </c>
      <c r="J47" s="4"/>
    </row>
    <row r="48" customFormat="false" ht="15" hidden="false" customHeight="false" outlineLevel="0" collapsed="false">
      <c r="A48" s="0" t="n">
        <v>47</v>
      </c>
      <c r="B48" s="0" t="n">
        <f aca="false">INT((A48-1)/12)+1</f>
        <v>4</v>
      </c>
      <c r="C48" s="4" t="n">
        <f aca="false">G47</f>
        <v>118152.317997438</v>
      </c>
      <c r="D48" s="4" t="n">
        <f aca="false">C48*Inputs!B3/12</f>
        <v>319.995861243063</v>
      </c>
      <c r="E48" s="4" t="n">
        <f aca="false">IF(A48&lt;=Inputs!B4,0,MIN($J$1-D48,C48))</f>
        <v>1444.14976613682</v>
      </c>
      <c r="F48" s="4" t="n">
        <f aca="false">D48+E48</f>
        <v>1764.14562737988</v>
      </c>
      <c r="G48" s="4" t="n">
        <f aca="false">C48-E48</f>
        <v>116708.168231302</v>
      </c>
      <c r="J48" s="4"/>
    </row>
    <row r="49" customFormat="false" ht="15" hidden="false" customHeight="false" outlineLevel="0" collapsed="false">
      <c r="A49" s="0" t="n">
        <v>48</v>
      </c>
      <c r="B49" s="0" t="n">
        <f aca="false">INT((A49-1)/12)+1</f>
        <v>4</v>
      </c>
      <c r="C49" s="4" t="n">
        <f aca="false">G48</f>
        <v>116708.168231302</v>
      </c>
      <c r="D49" s="4" t="n">
        <f aca="false">C49*Inputs!B3/12</f>
        <v>316.084622293109</v>
      </c>
      <c r="E49" s="4" t="n">
        <f aca="false">IF(A49&lt;=Inputs!B4,0,MIN($J$1-D49,C49))</f>
        <v>1448.06100508677</v>
      </c>
      <c r="F49" s="4" t="n">
        <f aca="false">D49+E49</f>
        <v>1764.14562737988</v>
      </c>
      <c r="G49" s="4" t="n">
        <f aca="false">C49-E49</f>
        <v>115260.107226215</v>
      </c>
      <c r="J49" s="4"/>
    </row>
    <row r="50" customFormat="false" ht="15" hidden="false" customHeight="false" outlineLevel="0" collapsed="false">
      <c r="A50" s="0" t="n">
        <v>49</v>
      </c>
      <c r="B50" s="0" t="n">
        <f aca="false">INT((A50-1)/12)+1</f>
        <v>5</v>
      </c>
      <c r="C50" s="4" t="n">
        <f aca="false">G49</f>
        <v>115260.107226215</v>
      </c>
      <c r="D50" s="4" t="n">
        <f aca="false">C50*Inputs!B3/12</f>
        <v>312.162790404332</v>
      </c>
      <c r="E50" s="4" t="n">
        <f aca="false">IF(A50&lt;=Inputs!B4,0,MIN($J$1-D50,C50))</f>
        <v>1451.98283697555</v>
      </c>
      <c r="F50" s="4" t="n">
        <f aca="false">D50+E50</f>
        <v>1764.14562737988</v>
      </c>
      <c r="G50" s="4" t="n">
        <f aca="false">C50-E50</f>
        <v>113808.124389239</v>
      </c>
      <c r="J50" s="4"/>
    </row>
    <row r="51" customFormat="false" ht="15" hidden="false" customHeight="false" outlineLevel="0" collapsed="false">
      <c r="A51" s="0" t="n">
        <v>50</v>
      </c>
      <c r="B51" s="0" t="n">
        <f aca="false">INT((A51-1)/12)+1</f>
        <v>5</v>
      </c>
      <c r="C51" s="4" t="n">
        <f aca="false">G50</f>
        <v>113808.124389239</v>
      </c>
      <c r="D51" s="4" t="n">
        <f aca="false">C51*Inputs!B3/12</f>
        <v>308.230336887523</v>
      </c>
      <c r="E51" s="4" t="n">
        <f aca="false">IF(A51&lt;=Inputs!B4,0,MIN($J$1-D51,C51))</f>
        <v>1455.91529049236</v>
      </c>
      <c r="F51" s="4" t="n">
        <f aca="false">D51+E51</f>
        <v>1764.14562737988</v>
      </c>
      <c r="G51" s="4" t="n">
        <f aca="false">C51-E51</f>
        <v>112352.209098747</v>
      </c>
      <c r="J51" s="4"/>
    </row>
    <row r="52" customFormat="false" ht="15" hidden="false" customHeight="false" outlineLevel="0" collapsed="false">
      <c r="A52" s="0" t="n">
        <v>51</v>
      </c>
      <c r="B52" s="0" t="n">
        <f aca="false">INT((A52-1)/12)+1</f>
        <v>5</v>
      </c>
      <c r="C52" s="4" t="n">
        <f aca="false">G51</f>
        <v>112352.209098747</v>
      </c>
      <c r="D52" s="4" t="n">
        <f aca="false">C52*Inputs!B3/12</f>
        <v>304.287232975773</v>
      </c>
      <c r="E52" s="4" t="n">
        <f aca="false">IF(A52&lt;=Inputs!B4,0,MIN($J$1-D52,C52))</f>
        <v>1459.85839440411</v>
      </c>
      <c r="F52" s="4" t="n">
        <f aca="false">D52+E52</f>
        <v>1764.14562737988</v>
      </c>
      <c r="G52" s="4" t="n">
        <f aca="false">C52-E52</f>
        <v>110892.350704343</v>
      </c>
      <c r="J52" s="4"/>
    </row>
    <row r="53" customFormat="false" ht="15" hidden="false" customHeight="false" outlineLevel="0" collapsed="false">
      <c r="A53" s="0" t="n">
        <v>52</v>
      </c>
      <c r="B53" s="0" t="n">
        <f aca="false">INT((A53-1)/12)+1</f>
        <v>5</v>
      </c>
      <c r="C53" s="4" t="n">
        <f aca="false">G52</f>
        <v>110892.350704343</v>
      </c>
      <c r="D53" s="4" t="n">
        <f aca="false">C53*Inputs!B3/12</f>
        <v>300.333449824262</v>
      </c>
      <c r="E53" s="4" t="n">
        <f aca="false">IF(A53&lt;=Inputs!B4,0,MIN($J$1-D53,C53))</f>
        <v>1463.81217755562</v>
      </c>
      <c r="F53" s="4" t="n">
        <f aca="false">D53+E53</f>
        <v>1764.14562737988</v>
      </c>
      <c r="G53" s="4" t="n">
        <f aca="false">C53-E53</f>
        <v>109428.538526787</v>
      </c>
      <c r="J53" s="4"/>
    </row>
    <row r="54" customFormat="false" ht="15" hidden="false" customHeight="false" outlineLevel="0" collapsed="false">
      <c r="A54" s="0" t="n">
        <v>53</v>
      </c>
      <c r="B54" s="0" t="n">
        <f aca="false">INT((A54-1)/12)+1</f>
        <v>5</v>
      </c>
      <c r="C54" s="4" t="n">
        <f aca="false">G53</f>
        <v>109428.538526787</v>
      </c>
      <c r="D54" s="4" t="n">
        <f aca="false">C54*Inputs!B3/12</f>
        <v>296.368958510049</v>
      </c>
      <c r="E54" s="4" t="n">
        <f aca="false">IF(A54&lt;=Inputs!B4,0,MIN($J$1-D54,C54))</f>
        <v>1467.77666886983</v>
      </c>
      <c r="F54" s="4" t="n">
        <f aca="false">D54+E54</f>
        <v>1764.14562737988</v>
      </c>
      <c r="G54" s="4" t="n">
        <f aca="false">C54-E54</f>
        <v>107960.761857917</v>
      </c>
      <c r="J54" s="4"/>
    </row>
    <row r="55" customFormat="false" ht="15" hidden="false" customHeight="false" outlineLevel="0" collapsed="false">
      <c r="A55" s="0" t="n">
        <v>54</v>
      </c>
      <c r="B55" s="0" t="n">
        <f aca="false">INT((A55-1)/12)+1</f>
        <v>5</v>
      </c>
      <c r="C55" s="4" t="n">
        <f aca="false">G54</f>
        <v>107960.761857917</v>
      </c>
      <c r="D55" s="4" t="n">
        <f aca="false">C55*Inputs!B3/12</f>
        <v>292.39373003186</v>
      </c>
      <c r="E55" s="4" t="n">
        <f aca="false">IF(A55&lt;=Inputs!B4,0,MIN($J$1-D55,C55))</f>
        <v>1471.75189734802</v>
      </c>
      <c r="F55" s="4" t="n">
        <f aca="false">D55+E55</f>
        <v>1764.14562737988</v>
      </c>
      <c r="G55" s="4" t="n">
        <f aca="false">C55-E55</f>
        <v>106489.009960569</v>
      </c>
      <c r="J55" s="4"/>
    </row>
    <row r="56" customFormat="false" ht="15" hidden="false" customHeight="false" outlineLevel="0" collapsed="false">
      <c r="A56" s="0" t="n">
        <v>55</v>
      </c>
      <c r="B56" s="0" t="n">
        <f aca="false">INT((A56-1)/12)+1</f>
        <v>5</v>
      </c>
      <c r="C56" s="4" t="n">
        <f aca="false">G55</f>
        <v>106489.009960569</v>
      </c>
      <c r="D56" s="4" t="n">
        <f aca="false">C56*Inputs!B3/12</f>
        <v>288.407735309875</v>
      </c>
      <c r="E56" s="4" t="n">
        <f aca="false">IF(A56&lt;=Inputs!B4,0,MIN($J$1-D56,C56))</f>
        <v>1475.73789207001</v>
      </c>
      <c r="F56" s="4" t="n">
        <f aca="false">D56+E56</f>
        <v>1764.14562737988</v>
      </c>
      <c r="G56" s="4" t="n">
        <f aca="false">C56-E56</f>
        <v>105013.272068499</v>
      </c>
      <c r="J56" s="4"/>
    </row>
    <row r="57" customFormat="false" ht="15" hidden="false" customHeight="false" outlineLevel="0" collapsed="false">
      <c r="A57" s="0" t="n">
        <v>56</v>
      </c>
      <c r="B57" s="0" t="n">
        <f aca="false">INT((A57-1)/12)+1</f>
        <v>5</v>
      </c>
      <c r="C57" s="4" t="n">
        <f aca="false">G56</f>
        <v>105013.272068499</v>
      </c>
      <c r="D57" s="4" t="n">
        <f aca="false">C57*Inputs!B3/12</f>
        <v>284.410945185519</v>
      </c>
      <c r="E57" s="4" t="n">
        <f aca="false">IF(A57&lt;=Inputs!B4,0,MIN($J$1-D57,C57))</f>
        <v>1479.73468219436</v>
      </c>
      <c r="F57" s="4" t="n">
        <f aca="false">D57+E57</f>
        <v>1764.14562737988</v>
      </c>
      <c r="G57" s="4" t="n">
        <f aca="false">C57-E57</f>
        <v>103533.537386305</v>
      </c>
      <c r="J57" s="4"/>
    </row>
    <row r="58" customFormat="false" ht="15" hidden="false" customHeight="false" outlineLevel="0" collapsed="false">
      <c r="A58" s="0" t="n">
        <v>57</v>
      </c>
      <c r="B58" s="0" t="n">
        <f aca="false">INT((A58-1)/12)+1</f>
        <v>5</v>
      </c>
      <c r="C58" s="4" t="n">
        <f aca="false">G57</f>
        <v>103533.537386305</v>
      </c>
      <c r="D58" s="4" t="n">
        <f aca="false">C58*Inputs!B3/12</f>
        <v>280.403330421243</v>
      </c>
      <c r="E58" s="4" t="n">
        <f aca="false">IF(A58&lt;=Inputs!B4,0,MIN($J$1-D58,C58))</f>
        <v>1483.74229695864</v>
      </c>
      <c r="F58" s="4" t="n">
        <f aca="false">D58+E58</f>
        <v>1764.14562737988</v>
      </c>
      <c r="G58" s="4" t="n">
        <f aca="false">C58-E58</f>
        <v>102049.795089346</v>
      </c>
      <c r="J58" s="4"/>
    </row>
    <row r="59" customFormat="false" ht="15" hidden="false" customHeight="false" outlineLevel="0" collapsed="false">
      <c r="A59" s="0" t="n">
        <v>58</v>
      </c>
      <c r="B59" s="0" t="n">
        <f aca="false">INT((A59-1)/12)+1</f>
        <v>5</v>
      </c>
      <c r="C59" s="4" t="n">
        <f aca="false">G58</f>
        <v>102049.795089346</v>
      </c>
      <c r="D59" s="4" t="n">
        <f aca="false">C59*Inputs!B3/12</f>
        <v>276.384861700313</v>
      </c>
      <c r="E59" s="4" t="n">
        <f aca="false">IF(A59&lt;=Inputs!B4,0,MIN($J$1-D59,C59))</f>
        <v>1487.76076567957</v>
      </c>
      <c r="F59" s="4" t="n">
        <f aca="false">D59+E59</f>
        <v>1764.14562737988</v>
      </c>
      <c r="G59" s="4" t="n">
        <f aca="false">C59-E59</f>
        <v>100562.034323667</v>
      </c>
      <c r="J59" s="4"/>
    </row>
    <row r="60" customFormat="false" ht="15" hidden="false" customHeight="false" outlineLevel="0" collapsed="false">
      <c r="A60" s="0" t="n">
        <v>59</v>
      </c>
      <c r="B60" s="0" t="n">
        <f aca="false">INT((A60-1)/12)+1</f>
        <v>5</v>
      </c>
      <c r="C60" s="4" t="n">
        <f aca="false">G59</f>
        <v>100562.034323667</v>
      </c>
      <c r="D60" s="4" t="n">
        <f aca="false">C60*Inputs!B3/12</f>
        <v>272.355509626598</v>
      </c>
      <c r="E60" s="4" t="n">
        <f aca="false">IF(A60&lt;=Inputs!B4,0,MIN($J$1-D60,C60))</f>
        <v>1491.79011775329</v>
      </c>
      <c r="F60" s="4" t="n">
        <f aca="false">D60+E60</f>
        <v>1764.14562737988</v>
      </c>
      <c r="G60" s="4" t="n">
        <f aca="false">C60-E60</f>
        <v>99070.2442059135</v>
      </c>
      <c r="J60" s="4"/>
    </row>
    <row r="61" customFormat="false" ht="15" hidden="false" customHeight="false" outlineLevel="0" collapsed="false">
      <c r="A61" s="0" t="n">
        <v>60</v>
      </c>
      <c r="B61" s="0" t="n">
        <f aca="false">INT((A61-1)/12)+1</f>
        <v>5</v>
      </c>
      <c r="C61" s="4" t="n">
        <f aca="false">G60</f>
        <v>99070.2442059135</v>
      </c>
      <c r="D61" s="4" t="n">
        <f aca="false">C61*Inputs!B3/12</f>
        <v>268.315244724349</v>
      </c>
      <c r="E61" s="4" t="n">
        <f aca="false">IF(A61&lt;=Inputs!B4,0,MIN($J$1-D61,C61))</f>
        <v>1495.83038265553</v>
      </c>
      <c r="F61" s="4" t="n">
        <f aca="false">D61+E61</f>
        <v>1764.14562737988</v>
      </c>
      <c r="G61" s="4" t="n">
        <f aca="false">C61-E61</f>
        <v>97574.413823258</v>
      </c>
      <c r="J61" s="4"/>
    </row>
    <row r="62" customFormat="false" ht="15" hidden="false" customHeight="false" outlineLevel="0" collapsed="false">
      <c r="A62" s="0" t="n">
        <v>61</v>
      </c>
      <c r="B62" s="0" t="n">
        <f aca="false">INT((A62-1)/12)+1</f>
        <v>6</v>
      </c>
      <c r="C62" s="4" t="n">
        <f aca="false">G61</f>
        <v>97574.413823258</v>
      </c>
      <c r="D62" s="4" t="n">
        <f aca="false">C62*Inputs!B3/12</f>
        <v>264.26403743799</v>
      </c>
      <c r="E62" s="4" t="n">
        <f aca="false">IF(A62&lt;=Inputs!B4,0,MIN($J$1-D62,C62))</f>
        <v>1499.88158994189</v>
      </c>
      <c r="F62" s="4" t="n">
        <f aca="false">D62+E62</f>
        <v>1764.14562737988</v>
      </c>
      <c r="G62" s="4" t="n">
        <f aca="false">C62-E62</f>
        <v>96074.5322333161</v>
      </c>
      <c r="J62" s="4"/>
    </row>
    <row r="63" customFormat="false" ht="15" hidden="false" customHeight="false" outlineLevel="0" collapsed="false">
      <c r="A63" s="0" t="n">
        <v>62</v>
      </c>
      <c r="B63" s="0" t="n">
        <f aca="false">INT((A63-1)/12)+1</f>
        <v>6</v>
      </c>
      <c r="C63" s="4" t="n">
        <f aca="false">G62</f>
        <v>96074.5322333161</v>
      </c>
      <c r="D63" s="4" t="n">
        <f aca="false">C63*Inputs!B3/12</f>
        <v>260.201858131898</v>
      </c>
      <c r="E63" s="4" t="n">
        <f aca="false">IF(A63&lt;=Inputs!B4,0,MIN($J$1-D63,C63))</f>
        <v>1503.94376924799</v>
      </c>
      <c r="F63" s="4" t="n">
        <f aca="false">D63+E63</f>
        <v>1764.14562737988</v>
      </c>
      <c r="G63" s="4" t="n">
        <f aca="false">C63-E63</f>
        <v>94570.5884640681</v>
      </c>
      <c r="J63" s="4"/>
    </row>
    <row r="64" customFormat="false" ht="15" hidden="false" customHeight="false" outlineLevel="0" collapsed="false">
      <c r="A64" s="0" t="n">
        <v>63</v>
      </c>
      <c r="B64" s="0" t="n">
        <f aca="false">INT((A64-1)/12)+1</f>
        <v>6</v>
      </c>
      <c r="C64" s="4" t="n">
        <f aca="false">G63</f>
        <v>94570.5884640681</v>
      </c>
      <c r="D64" s="4" t="n">
        <f aca="false">C64*Inputs!B3/12</f>
        <v>256.128677090184</v>
      </c>
      <c r="E64" s="4" t="n">
        <f aca="false">IF(A64&lt;=Inputs!B4,0,MIN($J$1-D64,C64))</f>
        <v>1508.0169502897</v>
      </c>
      <c r="F64" s="4" t="n">
        <f aca="false">D64+E64</f>
        <v>1764.14562737988</v>
      </c>
      <c r="G64" s="4" t="n">
        <f aca="false">C64-E64</f>
        <v>93062.5715137784</v>
      </c>
      <c r="J64" s="4"/>
    </row>
    <row r="65" customFormat="false" ht="15" hidden="false" customHeight="false" outlineLevel="0" collapsed="false">
      <c r="A65" s="0" t="n">
        <v>64</v>
      </c>
      <c r="B65" s="0" t="n">
        <f aca="false">INT((A65-1)/12)+1</f>
        <v>6</v>
      </c>
      <c r="C65" s="4" t="n">
        <f aca="false">G64</f>
        <v>93062.5715137784</v>
      </c>
      <c r="D65" s="4" t="n">
        <f aca="false">C65*Inputs!B3/12</f>
        <v>252.044464516483</v>
      </c>
      <c r="E65" s="4" t="n">
        <f aca="false">IF(A65&lt;=Inputs!B4,0,MIN($J$1-D65,C65))</f>
        <v>1512.1011628634</v>
      </c>
      <c r="F65" s="4" t="n">
        <f aca="false">D65+E65</f>
        <v>1764.14562737988</v>
      </c>
      <c r="G65" s="4" t="n">
        <f aca="false">C65-E65</f>
        <v>91550.470350915</v>
      </c>
      <c r="J65" s="4"/>
    </row>
    <row r="66" customFormat="false" ht="15" hidden="false" customHeight="false" outlineLevel="0" collapsed="false">
      <c r="A66" s="0" t="n">
        <v>65</v>
      </c>
      <c r="B66" s="0" t="n">
        <f aca="false">INT((A66-1)/12)+1</f>
        <v>6</v>
      </c>
      <c r="C66" s="4" t="n">
        <f aca="false">G65</f>
        <v>91550.470350915</v>
      </c>
      <c r="D66" s="4" t="n">
        <f aca="false">C66*Inputs!B3/12</f>
        <v>247.949190533728</v>
      </c>
      <c r="E66" s="4" t="n">
        <f aca="false">IF(A66&lt;=Inputs!B4,0,MIN($J$1-D66,C66))</f>
        <v>1516.19643684615</v>
      </c>
      <c r="F66" s="4" t="n">
        <f aca="false">D66+E66</f>
        <v>1764.14562737988</v>
      </c>
      <c r="G66" s="4" t="n">
        <f aca="false">C66-E66</f>
        <v>90034.2739140688</v>
      </c>
      <c r="J66" s="4"/>
    </row>
    <row r="67" customFormat="false" ht="15" hidden="false" customHeight="false" outlineLevel="0" collapsed="false">
      <c r="A67" s="0" t="n">
        <v>66</v>
      </c>
      <c r="B67" s="0" t="n">
        <f aca="false">INT((A67-1)/12)+1</f>
        <v>6</v>
      </c>
      <c r="C67" s="4" t="n">
        <f aca="false">G66</f>
        <v>90034.2739140688</v>
      </c>
      <c r="D67" s="4" t="n">
        <f aca="false">C67*Inputs!B3/12</f>
        <v>243.842825183936</v>
      </c>
      <c r="E67" s="4" t="n">
        <f aca="false">IF(A67&lt;=Inputs!B4,0,MIN($J$1-D67,C67))</f>
        <v>1520.30280219595</v>
      </c>
      <c r="F67" s="4" t="n">
        <f aca="false">D67+E67</f>
        <v>1764.14562737988</v>
      </c>
      <c r="G67" s="4" t="n">
        <f aca="false">C67-E67</f>
        <v>88513.9711118729</v>
      </c>
      <c r="J67" s="4"/>
    </row>
    <row r="68" customFormat="false" ht="15" hidden="false" customHeight="false" outlineLevel="0" collapsed="false">
      <c r="A68" s="0" t="n">
        <v>67</v>
      </c>
      <c r="B68" s="0" t="n">
        <f aca="false">INT((A68-1)/12)+1</f>
        <v>6</v>
      </c>
      <c r="C68" s="4" t="n">
        <f aca="false">G67</f>
        <v>88513.9711118729</v>
      </c>
      <c r="D68" s="4" t="n">
        <f aca="false">C68*Inputs!B3/12</f>
        <v>239.725338427989</v>
      </c>
      <c r="E68" s="4" t="n">
        <f aca="false">IF(A68&lt;=Inputs!B4,0,MIN($J$1-D68,C68))</f>
        <v>1524.42028895189</v>
      </c>
      <c r="F68" s="4" t="n">
        <f aca="false">D68+E68</f>
        <v>1764.14562737988</v>
      </c>
      <c r="G68" s="4" t="n">
        <f aca="false">C68-E68</f>
        <v>86989.550822921</v>
      </c>
      <c r="J68" s="4"/>
    </row>
    <row r="69" customFormat="false" ht="15" hidden="false" customHeight="false" outlineLevel="0" collapsed="false">
      <c r="A69" s="0" t="n">
        <v>68</v>
      </c>
      <c r="B69" s="0" t="n">
        <f aca="false">INT((A69-1)/12)+1</f>
        <v>6</v>
      </c>
      <c r="C69" s="4" t="n">
        <f aca="false">G68</f>
        <v>86989.550822921</v>
      </c>
      <c r="D69" s="4" t="n">
        <f aca="false">C69*Inputs!B3/12</f>
        <v>235.596700145411</v>
      </c>
      <c r="E69" s="4" t="n">
        <f aca="false">IF(A69&lt;=Inputs!B4,0,MIN($J$1-D69,C69))</f>
        <v>1528.54892723447</v>
      </c>
      <c r="F69" s="4" t="n">
        <f aca="false">D69+E69</f>
        <v>1764.14562737988</v>
      </c>
      <c r="G69" s="4" t="n">
        <f aca="false">C69-E69</f>
        <v>85461.0018956865</v>
      </c>
      <c r="J69" s="4"/>
    </row>
    <row r="70" customFormat="false" ht="15" hidden="false" customHeight="false" outlineLevel="0" collapsed="false">
      <c r="A70" s="0" t="n">
        <v>69</v>
      </c>
      <c r="B70" s="0" t="n">
        <f aca="false">INT((A70-1)/12)+1</f>
        <v>6</v>
      </c>
      <c r="C70" s="4" t="n">
        <f aca="false">G69</f>
        <v>85461.0018956865</v>
      </c>
      <c r="D70" s="4" t="n">
        <f aca="false">C70*Inputs!B3/12</f>
        <v>231.456880134151</v>
      </c>
      <c r="E70" s="4" t="n">
        <f aca="false">IF(A70&lt;=Inputs!B4,0,MIN($J$1-D70,C70))</f>
        <v>1532.68874724573</v>
      </c>
      <c r="F70" s="4" t="n">
        <f aca="false">D70+E70</f>
        <v>1764.14562737988</v>
      </c>
      <c r="G70" s="4" t="n">
        <f aca="false">C70-E70</f>
        <v>83928.3131484408</v>
      </c>
      <c r="J70" s="4"/>
    </row>
    <row r="71" customFormat="false" ht="15" hidden="false" customHeight="false" outlineLevel="0" collapsed="false">
      <c r="A71" s="0" t="n">
        <v>70</v>
      </c>
      <c r="B71" s="0" t="n">
        <f aca="false">INT((A71-1)/12)+1</f>
        <v>6</v>
      </c>
      <c r="C71" s="4" t="n">
        <f aca="false">G70</f>
        <v>83928.3131484408</v>
      </c>
      <c r="D71" s="4" t="n">
        <f aca="false">C71*Inputs!B3/12</f>
        <v>227.30584811036</v>
      </c>
      <c r="E71" s="4" t="n">
        <f aca="false">IF(A71&lt;=Inputs!B4,0,MIN($J$1-D71,C71))</f>
        <v>1536.83977926952</v>
      </c>
      <c r="F71" s="4" t="n">
        <f aca="false">D71+E71</f>
        <v>1764.14562737988</v>
      </c>
      <c r="G71" s="4" t="n">
        <f aca="false">C71-E71</f>
        <v>82391.4733691713</v>
      </c>
      <c r="J71" s="4"/>
    </row>
    <row r="72" customFormat="false" ht="15" hidden="false" customHeight="false" outlineLevel="0" collapsed="false">
      <c r="A72" s="0" t="n">
        <v>71</v>
      </c>
      <c r="B72" s="0" t="n">
        <f aca="false">INT((A72-1)/12)+1</f>
        <v>6</v>
      </c>
      <c r="C72" s="4" t="n">
        <f aca="false">G71</f>
        <v>82391.4733691713</v>
      </c>
      <c r="D72" s="4" t="n">
        <f aca="false">C72*Inputs!B3/12</f>
        <v>223.143573708172</v>
      </c>
      <c r="E72" s="4" t="n">
        <f aca="false">IF(A72&lt;=Inputs!B4,0,MIN($J$1-D72,C72))</f>
        <v>1541.00205367171</v>
      </c>
      <c r="F72" s="4" t="n">
        <f aca="false">D72+E72</f>
        <v>1764.14562737988</v>
      </c>
      <c r="G72" s="4" t="n">
        <f aca="false">C72-E72</f>
        <v>80850.4713154996</v>
      </c>
      <c r="J72" s="4"/>
    </row>
    <row r="73" customFormat="false" ht="15" hidden="false" customHeight="false" outlineLevel="0" collapsed="false">
      <c r="A73" s="0" t="n">
        <v>72</v>
      </c>
      <c r="B73" s="0" t="n">
        <f aca="false">INT((A73-1)/12)+1</f>
        <v>6</v>
      </c>
      <c r="C73" s="4" t="n">
        <f aca="false">G72</f>
        <v>80850.4713154996</v>
      </c>
      <c r="D73" s="4" t="n">
        <f aca="false">C73*Inputs!B3/12</f>
        <v>218.970026479478</v>
      </c>
      <c r="E73" s="4" t="n">
        <f aca="false">IF(A73&lt;=Inputs!B4,0,MIN($J$1-D73,C73))</f>
        <v>1545.1756009004</v>
      </c>
      <c r="F73" s="4" t="n">
        <f aca="false">D73+E73</f>
        <v>1764.14562737988</v>
      </c>
      <c r="G73" s="4" t="n">
        <f aca="false">C73-E73</f>
        <v>79305.2957145992</v>
      </c>
      <c r="J73" s="4"/>
    </row>
    <row r="74" customFormat="false" ht="15" hidden="false" customHeight="false" outlineLevel="0" collapsed="false">
      <c r="A74" s="0" t="n">
        <v>73</v>
      </c>
      <c r="B74" s="0" t="n">
        <f aca="false">INT((A74-1)/12)+1</f>
        <v>7</v>
      </c>
      <c r="C74" s="4" t="n">
        <f aca="false">G73</f>
        <v>79305.2957145992</v>
      </c>
      <c r="D74" s="4" t="n">
        <f aca="false">C74*Inputs!B3/12</f>
        <v>214.785175893706</v>
      </c>
      <c r="E74" s="4" t="n">
        <f aca="false">IF(A74&lt;=Inputs!B4,0,MIN($J$1-D74,C74))</f>
        <v>1549.36045148618</v>
      </c>
      <c r="F74" s="4" t="n">
        <f aca="false">D74+E74</f>
        <v>1764.14562737988</v>
      </c>
      <c r="G74" s="4" t="n">
        <f aca="false">C74-E74</f>
        <v>77755.935263113</v>
      </c>
      <c r="J74" s="4"/>
    </row>
    <row r="75" customFormat="false" ht="15" hidden="false" customHeight="false" outlineLevel="0" collapsed="false">
      <c r="A75" s="0" t="n">
        <v>74</v>
      </c>
      <c r="B75" s="0" t="n">
        <f aca="false">INT((A75-1)/12)+1</f>
        <v>7</v>
      </c>
      <c r="C75" s="4" t="n">
        <f aca="false">G74</f>
        <v>77755.935263113</v>
      </c>
      <c r="D75" s="4" t="n">
        <f aca="false">C75*Inputs!B3/12</f>
        <v>210.588991337598</v>
      </c>
      <c r="E75" s="4" t="n">
        <f aca="false">IF(A75&lt;=Inputs!B4,0,MIN($J$1-D75,C75))</f>
        <v>1553.55663604229</v>
      </c>
      <c r="F75" s="4" t="n">
        <f aca="false">D75+E75</f>
        <v>1764.14562737988</v>
      </c>
      <c r="G75" s="4" t="n">
        <f aca="false">C75-E75</f>
        <v>76202.3786270707</v>
      </c>
      <c r="J75" s="4"/>
    </row>
    <row r="76" customFormat="false" ht="15" hidden="false" customHeight="false" outlineLevel="0" collapsed="false">
      <c r="A76" s="0" t="n">
        <v>75</v>
      </c>
      <c r="B76" s="0" t="n">
        <f aca="false">INT((A76-1)/12)+1</f>
        <v>7</v>
      </c>
      <c r="C76" s="4" t="n">
        <f aca="false">G75</f>
        <v>76202.3786270707</v>
      </c>
      <c r="D76" s="4" t="n">
        <f aca="false">C76*Inputs!B3/12</f>
        <v>206.381442114983</v>
      </c>
      <c r="E76" s="4" t="n">
        <f aca="false">IF(A76&lt;=Inputs!B4,0,MIN($J$1-D76,C76))</f>
        <v>1557.7641852649</v>
      </c>
      <c r="F76" s="4" t="n">
        <f aca="false">D76+E76</f>
        <v>1764.14562737988</v>
      </c>
      <c r="G76" s="4" t="n">
        <f aca="false">C76-E76</f>
        <v>74644.6144418058</v>
      </c>
      <c r="J76" s="4"/>
    </row>
    <row r="77" customFormat="false" ht="15" hidden="false" customHeight="false" outlineLevel="0" collapsed="false">
      <c r="A77" s="0" t="n">
        <v>76</v>
      </c>
      <c r="B77" s="0" t="n">
        <f aca="false">INT((A77-1)/12)+1</f>
        <v>7</v>
      </c>
      <c r="C77" s="4" t="n">
        <f aca="false">G76</f>
        <v>74644.6144418058</v>
      </c>
      <c r="D77" s="4" t="n">
        <f aca="false">C77*Inputs!B3/12</f>
        <v>202.162497446557</v>
      </c>
      <c r="E77" s="4" t="n">
        <f aca="false">IF(A77&lt;=Inputs!B4,0,MIN($J$1-D77,C77))</f>
        <v>1561.98312993333</v>
      </c>
      <c r="F77" s="4" t="n">
        <f aca="false">D77+E77</f>
        <v>1764.14562737988</v>
      </c>
      <c r="G77" s="4" t="n">
        <f aca="false">C77-E77</f>
        <v>73082.6313118725</v>
      </c>
      <c r="J77" s="4"/>
    </row>
    <row r="78" customFormat="false" ht="15" hidden="false" customHeight="false" outlineLevel="0" collapsed="false">
      <c r="A78" s="0" t="n">
        <v>77</v>
      </c>
      <c r="B78" s="0" t="n">
        <f aca="false">INT((A78-1)/12)+1</f>
        <v>7</v>
      </c>
      <c r="C78" s="4" t="n">
        <f aca="false">G77</f>
        <v>73082.6313118725</v>
      </c>
      <c r="D78" s="4" t="n">
        <f aca="false">C78*Inputs!B3/12</f>
        <v>197.932126469655</v>
      </c>
      <c r="E78" s="4" t="n">
        <f aca="false">IF(A78&lt;=Inputs!B4,0,MIN($J$1-D78,C78))</f>
        <v>1566.21350091023</v>
      </c>
      <c r="F78" s="4" t="n">
        <f aca="false">D78+E78</f>
        <v>1764.14562737988</v>
      </c>
      <c r="G78" s="4" t="n">
        <f aca="false">C78-E78</f>
        <v>71516.4178109622</v>
      </c>
      <c r="J78" s="4"/>
    </row>
    <row r="79" customFormat="false" ht="15" hidden="false" customHeight="false" outlineLevel="0" collapsed="false">
      <c r="A79" s="0" t="n">
        <v>78</v>
      </c>
      <c r="B79" s="0" t="n">
        <f aca="false">INT((A79-1)/12)+1</f>
        <v>7</v>
      </c>
      <c r="C79" s="4" t="n">
        <f aca="false">G78</f>
        <v>71516.4178109622</v>
      </c>
      <c r="D79" s="4" t="n">
        <f aca="false">C79*Inputs!B3/12</f>
        <v>193.690298238023</v>
      </c>
      <c r="E79" s="4" t="n">
        <f aca="false">IF(A79&lt;=Inputs!B4,0,MIN($J$1-D79,C79))</f>
        <v>1570.45532914186</v>
      </c>
      <c r="F79" s="4" t="n">
        <f aca="false">D79+E79</f>
        <v>1764.14562737988</v>
      </c>
      <c r="G79" s="4" t="n">
        <f aca="false">C79-E79</f>
        <v>69945.9624818204</v>
      </c>
      <c r="J79" s="4"/>
    </row>
    <row r="80" customFormat="false" ht="15" hidden="false" customHeight="false" outlineLevel="0" collapsed="false">
      <c r="A80" s="0" t="n">
        <v>79</v>
      </c>
      <c r="B80" s="0" t="n">
        <f aca="false">INT((A80-1)/12)+1</f>
        <v>7</v>
      </c>
      <c r="C80" s="4" t="n">
        <f aca="false">G79</f>
        <v>69945.9624818204</v>
      </c>
      <c r="D80" s="4" t="n">
        <f aca="false">C80*Inputs!B3/12</f>
        <v>189.436981721597</v>
      </c>
      <c r="E80" s="4" t="n">
        <f aca="false">IF(A80&lt;=Inputs!B4,0,MIN($J$1-D80,C80))</f>
        <v>1574.70864565829</v>
      </c>
      <c r="F80" s="4" t="n">
        <f aca="false">D80+E80</f>
        <v>1764.14562737988</v>
      </c>
      <c r="G80" s="4" t="n">
        <f aca="false">C80-E80</f>
        <v>68371.2538361621</v>
      </c>
      <c r="J80" s="4"/>
    </row>
    <row r="81" customFormat="false" ht="15" hidden="false" customHeight="false" outlineLevel="0" collapsed="false">
      <c r="A81" s="0" t="n">
        <v>80</v>
      </c>
      <c r="B81" s="0" t="n">
        <f aca="false">INT((A81-1)/12)+1</f>
        <v>7</v>
      </c>
      <c r="C81" s="4" t="n">
        <f aca="false">G80</f>
        <v>68371.2538361621</v>
      </c>
      <c r="D81" s="4" t="n">
        <f aca="false">C81*Inputs!B3/12</f>
        <v>185.172145806272</v>
      </c>
      <c r="E81" s="4" t="n">
        <f aca="false">IF(A81&lt;=Inputs!B4,0,MIN($J$1-D81,C81))</f>
        <v>1578.97348157361</v>
      </c>
      <c r="F81" s="4" t="n">
        <f aca="false">D81+E81</f>
        <v>1764.14562737988</v>
      </c>
      <c r="G81" s="4" t="n">
        <f aca="false">C81-E81</f>
        <v>66792.2803545885</v>
      </c>
      <c r="J81" s="4"/>
    </row>
    <row r="82" customFormat="false" ht="15" hidden="false" customHeight="false" outlineLevel="0" collapsed="false">
      <c r="A82" s="0" t="n">
        <v>81</v>
      </c>
      <c r="B82" s="0" t="n">
        <f aca="false">INT((A82-1)/12)+1</f>
        <v>7</v>
      </c>
      <c r="C82" s="4" t="n">
        <f aca="false">G81</f>
        <v>66792.2803545885</v>
      </c>
      <c r="D82" s="4" t="n">
        <f aca="false">C82*Inputs!B3/12</f>
        <v>180.895759293677</v>
      </c>
      <c r="E82" s="4" t="n">
        <f aca="false">IF(A82&lt;=Inputs!B4,0,MIN($J$1-D82,C82))</f>
        <v>1583.24986808621</v>
      </c>
      <c r="F82" s="4" t="n">
        <f aca="false">D82+E82</f>
        <v>1764.14562737988</v>
      </c>
      <c r="G82" s="4" t="n">
        <f aca="false">C82-E82</f>
        <v>65209.0304865023</v>
      </c>
      <c r="J82" s="4"/>
    </row>
    <row r="83" customFormat="false" ht="15" hidden="false" customHeight="false" outlineLevel="0" collapsed="false">
      <c r="A83" s="0" t="n">
        <v>82</v>
      </c>
      <c r="B83" s="0" t="n">
        <f aca="false">INT((A83-1)/12)+1</f>
        <v>7</v>
      </c>
      <c r="C83" s="4" t="n">
        <f aca="false">G82</f>
        <v>65209.0304865023</v>
      </c>
      <c r="D83" s="4" t="n">
        <f aca="false">C83*Inputs!B3/12</f>
        <v>176.607790900944</v>
      </c>
      <c r="E83" s="4" t="n">
        <f aca="false">IF(A83&lt;=Inputs!B4,0,MIN($J$1-D83,C83))</f>
        <v>1587.53783647894</v>
      </c>
      <c r="F83" s="4" t="n">
        <f aca="false">D83+E83</f>
        <v>1764.14562737988</v>
      </c>
      <c r="G83" s="4" t="n">
        <f aca="false">C83-E83</f>
        <v>63621.4926500233</v>
      </c>
      <c r="J83" s="4"/>
    </row>
    <row r="84" customFormat="false" ht="15" hidden="false" customHeight="false" outlineLevel="0" collapsed="false">
      <c r="A84" s="0" t="n">
        <v>83</v>
      </c>
      <c r="B84" s="0" t="n">
        <f aca="false">INT((A84-1)/12)+1</f>
        <v>7</v>
      </c>
      <c r="C84" s="4" t="n">
        <f aca="false">G83</f>
        <v>63621.4926500233</v>
      </c>
      <c r="D84" s="4" t="n">
        <f aca="false">C84*Inputs!B3/12</f>
        <v>172.30820926048</v>
      </c>
      <c r="E84" s="4" t="n">
        <f aca="false">IF(A84&lt;=Inputs!B4,0,MIN($J$1-D84,C84))</f>
        <v>1591.8374181194</v>
      </c>
      <c r="F84" s="4" t="n">
        <f aca="false">D84+E84</f>
        <v>1764.14562737988</v>
      </c>
      <c r="G84" s="4" t="n">
        <f aca="false">C84-E84</f>
        <v>62029.6552319039</v>
      </c>
      <c r="J84" s="4"/>
    </row>
    <row r="85" customFormat="false" ht="15" hidden="false" customHeight="false" outlineLevel="0" collapsed="false">
      <c r="A85" s="0" t="n">
        <v>84</v>
      </c>
      <c r="B85" s="0" t="n">
        <f aca="false">INT((A85-1)/12)+1</f>
        <v>7</v>
      </c>
      <c r="C85" s="4" t="n">
        <f aca="false">G84</f>
        <v>62029.6552319039</v>
      </c>
      <c r="D85" s="4" t="n">
        <f aca="false">C85*Inputs!B3/12</f>
        <v>167.99698291974</v>
      </c>
      <c r="E85" s="4" t="n">
        <f aca="false">IF(A85&lt;=Inputs!B4,0,MIN($J$1-D85,C85))</f>
        <v>1596.14864446014</v>
      </c>
      <c r="F85" s="4" t="n">
        <f aca="false">D85+E85</f>
        <v>1764.14562737988</v>
      </c>
      <c r="G85" s="4" t="n">
        <f aca="false">C85-E85</f>
        <v>60433.5065874438</v>
      </c>
      <c r="J85" s="4"/>
    </row>
    <row r="86" customFormat="false" ht="15" hidden="false" customHeight="false" outlineLevel="0" collapsed="false">
      <c r="A86" s="0" t="n">
        <v>85</v>
      </c>
      <c r="B86" s="0" t="n">
        <f aca="false">INT((A86-1)/12)+1</f>
        <v>8</v>
      </c>
      <c r="C86" s="4" t="n">
        <f aca="false">G85</f>
        <v>60433.5065874438</v>
      </c>
      <c r="D86" s="4" t="n">
        <f aca="false">C86*Inputs!B3/12</f>
        <v>163.674080340994</v>
      </c>
      <c r="E86" s="4" t="n">
        <f aca="false">IF(A86&lt;=Inputs!B4,0,MIN($J$1-D86,C86))</f>
        <v>1600.47154703889</v>
      </c>
      <c r="F86" s="4" t="n">
        <f aca="false">D86+E86</f>
        <v>1764.14562737988</v>
      </c>
      <c r="G86" s="4" t="n">
        <f aca="false">C86-E86</f>
        <v>58833.0350404049</v>
      </c>
      <c r="J86" s="4"/>
    </row>
    <row r="87" customFormat="false" ht="15" hidden="false" customHeight="false" outlineLevel="0" collapsed="false">
      <c r="A87" s="0" t="n">
        <v>86</v>
      </c>
      <c r="B87" s="0" t="n">
        <f aca="false">INT((A87-1)/12)+1</f>
        <v>8</v>
      </c>
      <c r="C87" s="4" t="n">
        <f aca="false">G86</f>
        <v>58833.0350404049</v>
      </c>
      <c r="D87" s="4" t="n">
        <f aca="false">C87*Inputs!B3/12</f>
        <v>159.339469901097</v>
      </c>
      <c r="E87" s="4" t="n">
        <f aca="false">IF(A87&lt;=Inputs!B4,0,MIN($J$1-D87,C87))</f>
        <v>1604.80615747879</v>
      </c>
      <c r="F87" s="4" t="n">
        <f aca="false">D87+E87</f>
        <v>1764.14562737988</v>
      </c>
      <c r="G87" s="4" t="n">
        <f aca="false">C87-E87</f>
        <v>57228.2288829261</v>
      </c>
      <c r="J87" s="4"/>
    </row>
    <row r="88" customFormat="false" ht="15" hidden="false" customHeight="false" outlineLevel="0" collapsed="false">
      <c r="A88" s="0" t="n">
        <v>87</v>
      </c>
      <c r="B88" s="0" t="n">
        <f aca="false">INT((A88-1)/12)+1</f>
        <v>8</v>
      </c>
      <c r="C88" s="4" t="n">
        <f aca="false">G87</f>
        <v>57228.2288829261</v>
      </c>
      <c r="D88" s="4" t="n">
        <f aca="false">C88*Inputs!B3/12</f>
        <v>154.993119891258</v>
      </c>
      <c r="E88" s="4" t="n">
        <f aca="false">IF(A88&lt;=Inputs!B4,0,MIN($J$1-D88,C88))</f>
        <v>1609.15250748862</v>
      </c>
      <c r="F88" s="4" t="n">
        <f aca="false">D88+E88</f>
        <v>1764.14562737988</v>
      </c>
      <c r="G88" s="4" t="n">
        <f aca="false">C88-E88</f>
        <v>55619.0763754375</v>
      </c>
      <c r="J88" s="4"/>
    </row>
    <row r="89" customFormat="false" ht="15" hidden="false" customHeight="false" outlineLevel="0" collapsed="false">
      <c r="A89" s="0" t="n">
        <v>88</v>
      </c>
      <c r="B89" s="0" t="n">
        <f aca="false">INT((A89-1)/12)+1</f>
        <v>8</v>
      </c>
      <c r="C89" s="4" t="n">
        <f aca="false">G88</f>
        <v>55619.0763754375</v>
      </c>
      <c r="D89" s="4" t="n">
        <f aca="false">C89*Inputs!B3/12</f>
        <v>150.63499851681</v>
      </c>
      <c r="E89" s="4" t="n">
        <f aca="false">IF(A89&lt;=Inputs!B4,0,MIN($J$1-D89,C89))</f>
        <v>1613.51062886307</v>
      </c>
      <c r="F89" s="4" t="n">
        <f aca="false">D89+E89</f>
        <v>1764.14562737988</v>
      </c>
      <c r="G89" s="4" t="n">
        <f aca="false">C89-E89</f>
        <v>54005.5657465744</v>
      </c>
      <c r="J89" s="4"/>
    </row>
    <row r="90" customFormat="false" ht="15" hidden="false" customHeight="false" outlineLevel="0" collapsed="false">
      <c r="A90" s="0" t="n">
        <v>89</v>
      </c>
      <c r="B90" s="0" t="n">
        <f aca="false">INT((A90-1)/12)+1</f>
        <v>8</v>
      </c>
      <c r="C90" s="4" t="n">
        <f aca="false">G89</f>
        <v>54005.5657465744</v>
      </c>
      <c r="D90" s="4" t="n">
        <f aca="false">C90*Inputs!B3/12</f>
        <v>146.265073896972</v>
      </c>
      <c r="E90" s="4" t="n">
        <f aca="false">IF(A90&lt;=Inputs!B4,0,MIN($J$1-D90,C90))</f>
        <v>1617.88055348291</v>
      </c>
      <c r="F90" s="4" t="n">
        <f aca="false">D90+E90</f>
        <v>1764.14562737988</v>
      </c>
      <c r="G90" s="4" t="n">
        <f aca="false">C90-E90</f>
        <v>52387.6851930915</v>
      </c>
      <c r="J90" s="4"/>
    </row>
    <row r="91" customFormat="false" ht="15" hidden="false" customHeight="false" outlineLevel="0" collapsed="false">
      <c r="A91" s="0" t="n">
        <v>90</v>
      </c>
      <c r="B91" s="0" t="n">
        <f aca="false">INT((A91-1)/12)+1</f>
        <v>8</v>
      </c>
      <c r="C91" s="4" t="n">
        <f aca="false">G90</f>
        <v>52387.6851930915</v>
      </c>
      <c r="D91" s="4" t="n">
        <f aca="false">C91*Inputs!B3/12</f>
        <v>141.883314064623</v>
      </c>
      <c r="E91" s="4" t="n">
        <f aca="false">IF(A91&lt;=Inputs!B4,0,MIN($J$1-D91,C91))</f>
        <v>1622.26231331526</v>
      </c>
      <c r="F91" s="4" t="n">
        <f aca="false">D91+E91</f>
        <v>1764.14562737988</v>
      </c>
      <c r="G91" s="4" t="n">
        <f aca="false">C91-E91</f>
        <v>50765.4228797763</v>
      </c>
      <c r="J91" s="4"/>
    </row>
    <row r="92" customFormat="false" ht="15" hidden="false" customHeight="false" outlineLevel="0" collapsed="false">
      <c r="A92" s="0" t="n">
        <v>91</v>
      </c>
      <c r="B92" s="0" t="n">
        <f aca="false">INT((A92-1)/12)+1</f>
        <v>8</v>
      </c>
      <c r="C92" s="4" t="n">
        <f aca="false">G91</f>
        <v>50765.4228797763</v>
      </c>
      <c r="D92" s="4" t="n">
        <f aca="false">C92*Inputs!B3/12</f>
        <v>137.489686966061</v>
      </c>
      <c r="E92" s="4" t="n">
        <f aca="false">IF(A92&lt;=Inputs!B4,0,MIN($J$1-D92,C92))</f>
        <v>1626.65594041382</v>
      </c>
      <c r="F92" s="4" t="n">
        <f aca="false">D92+E92</f>
        <v>1764.14562737988</v>
      </c>
      <c r="G92" s="4" t="n">
        <f aca="false">C92-E92</f>
        <v>49138.7669393624</v>
      </c>
      <c r="J92" s="4"/>
    </row>
    <row r="93" customFormat="false" ht="15" hidden="false" customHeight="false" outlineLevel="0" collapsed="false">
      <c r="A93" s="0" t="n">
        <v>92</v>
      </c>
      <c r="B93" s="0" t="n">
        <f aca="false">INT((A93-1)/12)+1</f>
        <v>8</v>
      </c>
      <c r="C93" s="4" t="n">
        <f aca="false">G92</f>
        <v>49138.7669393624</v>
      </c>
      <c r="D93" s="4" t="n">
        <f aca="false">C93*Inputs!B3/12</f>
        <v>133.084160460773</v>
      </c>
      <c r="E93" s="4" t="n">
        <f aca="false">IF(A93&lt;=Inputs!B4,0,MIN($J$1-D93,C93))</f>
        <v>1631.06146691911</v>
      </c>
      <c r="F93" s="4" t="n">
        <f aca="false">D93+E93</f>
        <v>1764.14562737988</v>
      </c>
      <c r="G93" s="4" t="n">
        <f aca="false">C93-E93</f>
        <v>47507.7054724433</v>
      </c>
      <c r="J93" s="4"/>
    </row>
    <row r="94" customFormat="false" ht="15" hidden="false" customHeight="false" outlineLevel="0" collapsed="false">
      <c r="A94" s="0" t="n">
        <v>93</v>
      </c>
      <c r="B94" s="0" t="n">
        <f aca="false">INT((A94-1)/12)+1</f>
        <v>8</v>
      </c>
      <c r="C94" s="4" t="n">
        <f aca="false">G93</f>
        <v>47507.7054724433</v>
      </c>
      <c r="D94" s="4" t="n">
        <f aca="false">C94*Inputs!B3/12</f>
        <v>128.666702321201</v>
      </c>
      <c r="E94" s="4" t="n">
        <f aca="false">IF(A94&lt;=Inputs!B4,0,MIN($J$1-D94,C94))</f>
        <v>1635.47892505868</v>
      </c>
      <c r="F94" s="4" t="n">
        <f aca="false">D94+E94</f>
        <v>1764.14562737988</v>
      </c>
      <c r="G94" s="4" t="n">
        <f aca="false">C94-E94</f>
        <v>45872.2265473846</v>
      </c>
      <c r="J94" s="4"/>
    </row>
    <row r="95" customFormat="false" ht="15" hidden="false" customHeight="false" outlineLevel="0" collapsed="false">
      <c r="A95" s="0" t="n">
        <v>94</v>
      </c>
      <c r="B95" s="0" t="n">
        <f aca="false">INT((A95-1)/12)+1</f>
        <v>8</v>
      </c>
      <c r="C95" s="4" t="n">
        <f aca="false">G94</f>
        <v>45872.2265473846</v>
      </c>
      <c r="D95" s="4" t="n">
        <f aca="false">C95*Inputs!B3/12</f>
        <v>124.2372802325</v>
      </c>
      <c r="E95" s="4" t="n">
        <f aca="false">IF(A95&lt;=Inputs!B4,0,MIN($J$1-D95,C95))</f>
        <v>1639.90834714738</v>
      </c>
      <c r="F95" s="4" t="n">
        <f aca="false">D95+E95</f>
        <v>1764.14562737988</v>
      </c>
      <c r="G95" s="4" t="n">
        <f aca="false">C95-E95</f>
        <v>44232.3182002372</v>
      </c>
      <c r="J95" s="4"/>
    </row>
    <row r="96" customFormat="false" ht="15" hidden="false" customHeight="false" outlineLevel="0" collapsed="false">
      <c r="A96" s="0" t="n">
        <v>95</v>
      </c>
      <c r="B96" s="0" t="n">
        <f aca="false">INT((A96-1)/12)+1</f>
        <v>8</v>
      </c>
      <c r="C96" s="4" t="n">
        <f aca="false">G95</f>
        <v>44232.3182002372</v>
      </c>
      <c r="D96" s="4" t="n">
        <f aca="false">C96*Inputs!B3/12</f>
        <v>119.795861792309</v>
      </c>
      <c r="E96" s="4" t="n">
        <f aca="false">IF(A96&lt;=Inputs!B4,0,MIN($J$1-D96,C96))</f>
        <v>1644.34976558757</v>
      </c>
      <c r="F96" s="4" t="n">
        <f aca="false">D96+E96</f>
        <v>1764.14562737988</v>
      </c>
      <c r="G96" s="4" t="n">
        <f aca="false">C96-E96</f>
        <v>42587.9684346497</v>
      </c>
      <c r="J96" s="4"/>
    </row>
    <row r="97" customFormat="false" ht="15" hidden="false" customHeight="false" outlineLevel="0" collapsed="false">
      <c r="A97" s="0" t="n">
        <v>96</v>
      </c>
      <c r="B97" s="0" t="n">
        <f aca="false">INT((A97-1)/12)+1</f>
        <v>8</v>
      </c>
      <c r="C97" s="4" t="n">
        <f aca="false">G96</f>
        <v>42587.9684346497</v>
      </c>
      <c r="D97" s="4" t="n">
        <f aca="false">C97*Inputs!B3/12</f>
        <v>115.34241451051</v>
      </c>
      <c r="E97" s="4" t="n">
        <f aca="false">IF(A97&lt;=Inputs!B4,0,MIN($J$1-D97,C97))</f>
        <v>1648.80321286937</v>
      </c>
      <c r="F97" s="4" t="n">
        <f aca="false">D97+E97</f>
        <v>1764.14562737988</v>
      </c>
      <c r="G97" s="4" t="n">
        <f aca="false">C97-E97</f>
        <v>40939.1652217803</v>
      </c>
      <c r="J97" s="4"/>
    </row>
    <row r="98" customFormat="false" ht="15" hidden="false" customHeight="false" outlineLevel="0" collapsed="false">
      <c r="A98" s="0" t="n">
        <v>97</v>
      </c>
      <c r="B98" s="0" t="n">
        <f aca="false">INT((A98-1)/12)+1</f>
        <v>9</v>
      </c>
      <c r="C98" s="4" t="n">
        <f aca="false">G97</f>
        <v>40939.1652217803</v>
      </c>
      <c r="D98" s="4" t="n">
        <f aca="false">C98*Inputs!B3/12</f>
        <v>110.876905808988</v>
      </c>
      <c r="E98" s="4" t="n">
        <f aca="false">IF(A98&lt;=Inputs!B4,0,MIN($J$1-D98,C98))</f>
        <v>1653.26872157089</v>
      </c>
      <c r="F98" s="4" t="n">
        <f aca="false">D98+E98</f>
        <v>1764.14562737988</v>
      </c>
      <c r="G98" s="4" t="n">
        <f aca="false">C98-E98</f>
        <v>39285.8965002094</v>
      </c>
      <c r="J98" s="4"/>
    </row>
    <row r="99" customFormat="false" ht="15" hidden="false" customHeight="false" outlineLevel="0" collapsed="false">
      <c r="A99" s="0" t="n">
        <v>98</v>
      </c>
      <c r="B99" s="0" t="n">
        <f aca="false">INT((A99-1)/12)+1</f>
        <v>9</v>
      </c>
      <c r="C99" s="4" t="n">
        <f aca="false">G98</f>
        <v>39285.8965002094</v>
      </c>
      <c r="D99" s="4" t="n">
        <f aca="false">C99*Inputs!B3/12</f>
        <v>106.3993030214</v>
      </c>
      <c r="E99" s="4" t="n">
        <f aca="false">IF(A99&lt;=Inputs!B4,0,MIN($J$1-D99,C99))</f>
        <v>1657.74632435848</v>
      </c>
      <c r="F99" s="4" t="n">
        <f aca="false">D99+E99</f>
        <v>1764.14562737988</v>
      </c>
      <c r="G99" s="4" t="n">
        <f aca="false">C99-E99</f>
        <v>37628.1501758509</v>
      </c>
      <c r="J99" s="4"/>
    </row>
    <row r="100" customFormat="false" ht="15" hidden="false" customHeight="false" outlineLevel="0" collapsed="false">
      <c r="A100" s="0" t="n">
        <v>99</v>
      </c>
      <c r="B100" s="0" t="n">
        <f aca="false">INT((A100-1)/12)+1</f>
        <v>9</v>
      </c>
      <c r="C100" s="4" t="n">
        <f aca="false">G99</f>
        <v>37628.1501758509</v>
      </c>
      <c r="D100" s="4" t="n">
        <f aca="false">C100*Inputs!B3/12</f>
        <v>101.90957339293</v>
      </c>
      <c r="E100" s="4" t="n">
        <f aca="false">IF(A100&lt;=Inputs!B4,0,MIN($J$1-D100,C100))</f>
        <v>1662.23605398695</v>
      </c>
      <c r="F100" s="4" t="n">
        <f aca="false">D100+E100</f>
        <v>1764.14562737988</v>
      </c>
      <c r="G100" s="4" t="n">
        <f aca="false">C100-E100</f>
        <v>35965.914121864</v>
      </c>
      <c r="J100" s="4"/>
    </row>
    <row r="101" customFormat="false" ht="15" hidden="false" customHeight="false" outlineLevel="0" collapsed="false">
      <c r="A101" s="0" t="n">
        <v>100</v>
      </c>
      <c r="B101" s="0" t="n">
        <f aca="false">INT((A101-1)/12)+1</f>
        <v>9</v>
      </c>
      <c r="C101" s="4" t="n">
        <f aca="false">G100</f>
        <v>35965.914121864</v>
      </c>
      <c r="D101" s="4" t="n">
        <f aca="false">C101*Inputs!B3/12</f>
        <v>97.4076840800482</v>
      </c>
      <c r="E101" s="4" t="n">
        <f aca="false">IF(A101&lt;=Inputs!B4,0,MIN($J$1-D101,C101))</f>
        <v>1666.73794329983</v>
      </c>
      <c r="F101" s="4" t="n">
        <f aca="false">D101+E101</f>
        <v>1764.14562737988</v>
      </c>
      <c r="G101" s="4" t="n">
        <f aca="false">C101-E101</f>
        <v>34299.1761785641</v>
      </c>
      <c r="J101" s="4"/>
    </row>
    <row r="102" customFormat="false" ht="15" hidden="false" customHeight="false" outlineLevel="0" collapsed="false">
      <c r="A102" s="0" t="n">
        <v>101</v>
      </c>
      <c r="B102" s="0" t="n">
        <f aca="false">INT((A102-1)/12)+1</f>
        <v>9</v>
      </c>
      <c r="C102" s="4" t="n">
        <f aca="false">G101</f>
        <v>34299.1761785641</v>
      </c>
      <c r="D102" s="4" t="n">
        <f aca="false">C102*Inputs!B3/12</f>
        <v>92.8936021502778</v>
      </c>
      <c r="E102" s="4" t="n">
        <f aca="false">IF(A102&lt;=Inputs!B4,0,MIN($J$1-D102,C102))</f>
        <v>1671.25202522961</v>
      </c>
      <c r="F102" s="4" t="n">
        <f aca="false">D102+E102</f>
        <v>1764.14562737988</v>
      </c>
      <c r="G102" s="4" t="n">
        <f aca="false">C102-E102</f>
        <v>32627.9241533345</v>
      </c>
      <c r="J102" s="4"/>
    </row>
    <row r="103" customFormat="false" ht="15" hidden="false" customHeight="false" outlineLevel="0" collapsed="false">
      <c r="A103" s="0" t="n">
        <v>102</v>
      </c>
      <c r="B103" s="0" t="n">
        <f aca="false">INT((A103-1)/12)+1</f>
        <v>9</v>
      </c>
      <c r="C103" s="4" t="n">
        <f aca="false">G102</f>
        <v>32627.9241533345</v>
      </c>
      <c r="D103" s="4" t="n">
        <f aca="false">C103*Inputs!B3/12</f>
        <v>88.3672945819477</v>
      </c>
      <c r="E103" s="4" t="n">
        <f aca="false">IF(A103&lt;=Inputs!B4,0,MIN($J$1-D103,C103))</f>
        <v>1675.77833279794</v>
      </c>
      <c r="F103" s="4" t="n">
        <f aca="false">D103+E103</f>
        <v>1764.14562737988</v>
      </c>
      <c r="G103" s="4" t="n">
        <f aca="false">C103-E103</f>
        <v>30952.1458205366</v>
      </c>
      <c r="J103" s="4"/>
    </row>
    <row r="104" customFormat="false" ht="15" hidden="false" customHeight="false" outlineLevel="0" collapsed="false">
      <c r="A104" s="0" t="n">
        <v>103</v>
      </c>
      <c r="B104" s="0" t="n">
        <f aca="false">INT((A104-1)/12)+1</f>
        <v>9</v>
      </c>
      <c r="C104" s="4" t="n">
        <f aca="false">G103</f>
        <v>30952.1458205366</v>
      </c>
      <c r="D104" s="4" t="n">
        <f aca="false">C104*Inputs!B3/12</f>
        <v>83.8287282639533</v>
      </c>
      <c r="E104" s="4" t="n">
        <f aca="false">IF(A104&lt;=Inputs!B4,0,MIN($J$1-D104,C104))</f>
        <v>1680.31689911593</v>
      </c>
      <c r="F104" s="4" t="n">
        <f aca="false">D104+E104</f>
        <v>1764.14562737988</v>
      </c>
      <c r="G104" s="4" t="n">
        <f aca="false">C104-E104</f>
        <v>29271.8289214207</v>
      </c>
      <c r="J104" s="4"/>
    </row>
    <row r="105" customFormat="false" ht="15" hidden="false" customHeight="false" outlineLevel="0" collapsed="false">
      <c r="A105" s="0" t="n">
        <v>104</v>
      </c>
      <c r="B105" s="0" t="n">
        <f aca="false">INT((A105-1)/12)+1</f>
        <v>9</v>
      </c>
      <c r="C105" s="4" t="n">
        <f aca="false">G104</f>
        <v>29271.8289214207</v>
      </c>
      <c r="D105" s="4" t="n">
        <f aca="false">C105*Inputs!B3/12</f>
        <v>79.2778699955143</v>
      </c>
      <c r="E105" s="4" t="n">
        <f aca="false">IF(A105&lt;=Inputs!B4,0,MIN($J$1-D105,C105))</f>
        <v>1684.86775738437</v>
      </c>
      <c r="F105" s="4" t="n">
        <f aca="false">D105+E105</f>
        <v>1764.14562737988</v>
      </c>
      <c r="G105" s="4" t="n">
        <f aca="false">C105-E105</f>
        <v>27586.9611640363</v>
      </c>
      <c r="J105" s="4"/>
    </row>
    <row r="106" customFormat="false" ht="15" hidden="false" customHeight="false" outlineLevel="0" collapsed="false">
      <c r="A106" s="0" t="n">
        <v>105</v>
      </c>
      <c r="B106" s="0" t="n">
        <f aca="false">INT((A106-1)/12)+1</f>
        <v>9</v>
      </c>
      <c r="C106" s="4" t="n">
        <f aca="false">G105</f>
        <v>27586.9611640363</v>
      </c>
      <c r="D106" s="4" t="n">
        <f aca="false">C106*Inputs!B3/12</f>
        <v>74.7146864859316</v>
      </c>
      <c r="E106" s="4" t="n">
        <f aca="false">IF(A106&lt;=Inputs!B4,0,MIN($J$1-D106,C106))</f>
        <v>1689.43094089395</v>
      </c>
      <c r="F106" s="4" t="n">
        <f aca="false">D106+E106</f>
        <v>1764.14562737988</v>
      </c>
      <c r="G106" s="4" t="n">
        <f aca="false">C106-E106</f>
        <v>25897.5302231423</v>
      </c>
      <c r="J106" s="4"/>
    </row>
    <row r="107" customFormat="false" ht="15" hidden="false" customHeight="false" outlineLevel="0" collapsed="false">
      <c r="A107" s="0" t="n">
        <v>106</v>
      </c>
      <c r="B107" s="0" t="n">
        <f aca="false">INT((A107-1)/12)+1</f>
        <v>9</v>
      </c>
      <c r="C107" s="4" t="n">
        <f aca="false">G106</f>
        <v>25897.5302231423</v>
      </c>
      <c r="D107" s="4" t="n">
        <f aca="false">C107*Inputs!B3/12</f>
        <v>70.1391443543438</v>
      </c>
      <c r="E107" s="4" t="n">
        <f aca="false">IF(A107&lt;=Inputs!B4,0,MIN($J$1-D107,C107))</f>
        <v>1694.00648302554</v>
      </c>
      <c r="F107" s="4" t="n">
        <f aca="false">D107+E107</f>
        <v>1764.14562737988</v>
      </c>
      <c r="G107" s="4" t="n">
        <f aca="false">C107-E107</f>
        <v>24203.5237401168</v>
      </c>
      <c r="J107" s="4"/>
    </row>
    <row r="108" customFormat="false" ht="15" hidden="false" customHeight="false" outlineLevel="0" collapsed="false">
      <c r="A108" s="0" t="n">
        <v>107</v>
      </c>
      <c r="B108" s="0" t="n">
        <f aca="false">INT((A108-1)/12)+1</f>
        <v>9</v>
      </c>
      <c r="C108" s="4" t="n">
        <f aca="false">G107</f>
        <v>24203.5237401168</v>
      </c>
      <c r="D108" s="4" t="n">
        <f aca="false">C108*Inputs!B3/12</f>
        <v>65.551210129483</v>
      </c>
      <c r="E108" s="4" t="n">
        <f aca="false">IF(A108&lt;=Inputs!B4,0,MIN($J$1-D108,C108))</f>
        <v>1698.5944172504</v>
      </c>
      <c r="F108" s="4" t="n">
        <f aca="false">D108+E108</f>
        <v>1764.14562737988</v>
      </c>
      <c r="G108" s="4" t="n">
        <f aca="false">C108-E108</f>
        <v>22504.9293228664</v>
      </c>
      <c r="J108" s="4"/>
    </row>
    <row r="109" customFormat="false" ht="15" hidden="false" customHeight="false" outlineLevel="0" collapsed="false">
      <c r="A109" s="0" t="n">
        <v>108</v>
      </c>
      <c r="B109" s="0" t="n">
        <f aca="false">INT((A109-1)/12)+1</f>
        <v>9</v>
      </c>
      <c r="C109" s="4" t="n">
        <f aca="false">G108</f>
        <v>22504.9293228664</v>
      </c>
      <c r="D109" s="4" t="n">
        <f aca="false">C109*Inputs!B3/12</f>
        <v>60.9508502494298</v>
      </c>
      <c r="E109" s="4" t="n">
        <f aca="false">IF(A109&lt;=Inputs!B4,0,MIN($J$1-D109,C109))</f>
        <v>1703.19477713045</v>
      </c>
      <c r="F109" s="4" t="n">
        <f aca="false">D109+E109</f>
        <v>1764.14562737988</v>
      </c>
      <c r="G109" s="4" t="n">
        <f aca="false">C109-E109</f>
        <v>20801.7345457359</v>
      </c>
      <c r="J109" s="4"/>
    </row>
    <row r="110" customFormat="false" ht="15" hidden="false" customHeight="false" outlineLevel="0" collapsed="false">
      <c r="A110" s="0" t="n">
        <v>109</v>
      </c>
      <c r="B110" s="0" t="n">
        <f aca="false">INT((A110-1)/12)+1</f>
        <v>10</v>
      </c>
      <c r="C110" s="4" t="n">
        <f aca="false">G109</f>
        <v>20801.7345457359</v>
      </c>
      <c r="D110" s="4" t="n">
        <f aca="false">C110*Inputs!B3/12</f>
        <v>56.3380310613682</v>
      </c>
      <c r="E110" s="4" t="n">
        <f aca="false">IF(A110&lt;=Inputs!B4,0,MIN($J$1-D110,C110))</f>
        <v>1707.80759631851</v>
      </c>
      <c r="F110" s="4" t="n">
        <f aca="false">D110+E110</f>
        <v>1764.14562737988</v>
      </c>
      <c r="G110" s="4" t="n">
        <f aca="false">C110-E110</f>
        <v>19093.9269494174</v>
      </c>
      <c r="J110" s="4"/>
    </row>
    <row r="111" customFormat="false" ht="15" hidden="false" customHeight="false" outlineLevel="0" collapsed="false">
      <c r="A111" s="0" t="n">
        <v>110</v>
      </c>
      <c r="B111" s="0" t="n">
        <f aca="false">INT((A111-1)/12)+1</f>
        <v>10</v>
      </c>
      <c r="C111" s="4" t="n">
        <f aca="false">G110</f>
        <v>19093.9269494174</v>
      </c>
      <c r="D111" s="4" t="n">
        <f aca="false">C111*Inputs!B3/12</f>
        <v>51.7127188213389</v>
      </c>
      <c r="E111" s="4" t="n">
        <f aca="false">IF(A111&lt;=Inputs!B4,0,MIN($J$1-D111,C111))</f>
        <v>1712.43290855854</v>
      </c>
      <c r="F111" s="4" t="n">
        <f aca="false">D111+E111</f>
        <v>1764.14562737988</v>
      </c>
      <c r="G111" s="4" t="n">
        <f aca="false">C111-E111</f>
        <v>17381.4940408589</v>
      </c>
      <c r="J111" s="4"/>
    </row>
    <row r="112" customFormat="false" ht="15" hidden="false" customHeight="false" outlineLevel="0" collapsed="false">
      <c r="A112" s="0" t="n">
        <v>111</v>
      </c>
      <c r="B112" s="0" t="n">
        <f aca="false">INT((A112-1)/12)+1</f>
        <v>10</v>
      </c>
      <c r="C112" s="4" t="n">
        <f aca="false">G111</f>
        <v>17381.4940408589</v>
      </c>
      <c r="D112" s="4" t="n">
        <f aca="false">C112*Inputs!B3/12</f>
        <v>47.0748796939928</v>
      </c>
      <c r="E112" s="4" t="n">
        <f aca="false">IF(A112&lt;=Inputs!B4,0,MIN($J$1-D112,C112))</f>
        <v>1717.07074768589</v>
      </c>
      <c r="F112" s="4" t="n">
        <f aca="false">D112+E112</f>
        <v>1764.14562737988</v>
      </c>
      <c r="G112" s="4" t="n">
        <f aca="false">C112-E112</f>
        <v>15664.423293173</v>
      </c>
      <c r="J112" s="4"/>
    </row>
    <row r="113" customFormat="false" ht="15" hidden="false" customHeight="false" outlineLevel="0" collapsed="false">
      <c r="A113" s="0" t="n">
        <v>112</v>
      </c>
      <c r="B113" s="0" t="n">
        <f aca="false">INT((A113-1)/12)+1</f>
        <v>10</v>
      </c>
      <c r="C113" s="4" t="n">
        <f aca="false">G112</f>
        <v>15664.423293173</v>
      </c>
      <c r="D113" s="4" t="n">
        <f aca="false">C113*Inputs!B3/12</f>
        <v>42.4244797523435</v>
      </c>
      <c r="E113" s="4" t="n">
        <f aca="false">IF(A113&lt;=Inputs!B4,0,MIN($J$1-D113,C113))</f>
        <v>1721.72114762754</v>
      </c>
      <c r="F113" s="4" t="n">
        <f aca="false">D113+E113</f>
        <v>1764.14562737988</v>
      </c>
      <c r="G113" s="4" t="n">
        <f aca="false">C113-E113</f>
        <v>13942.7021455455</v>
      </c>
      <c r="J113" s="4"/>
    </row>
    <row r="114" customFormat="false" ht="15" hidden="false" customHeight="false" outlineLevel="0" collapsed="false">
      <c r="A114" s="0" t="n">
        <v>113</v>
      </c>
      <c r="B114" s="0" t="n">
        <f aca="false">INT((A114-1)/12)+1</f>
        <v>10</v>
      </c>
      <c r="C114" s="4" t="n">
        <f aca="false">G113</f>
        <v>13942.7021455455</v>
      </c>
      <c r="D114" s="4" t="n">
        <f aca="false">C114*Inputs!B3/12</f>
        <v>37.761484977519</v>
      </c>
      <c r="E114" s="4" t="n">
        <f aca="false">IF(A114&lt;=Inputs!B4,0,MIN($J$1-D114,C114))</f>
        <v>1726.38414240236</v>
      </c>
      <c r="F114" s="4" t="n">
        <f aca="false">D114+E114</f>
        <v>1764.14562737988</v>
      </c>
      <c r="G114" s="4" t="n">
        <f aca="false">C114-E114</f>
        <v>12216.3180031431</v>
      </c>
      <c r="J114" s="4"/>
    </row>
    <row r="115" customFormat="false" ht="15" hidden="false" customHeight="false" outlineLevel="0" collapsed="false">
      <c r="A115" s="0" t="n">
        <v>114</v>
      </c>
      <c r="B115" s="0" t="n">
        <f aca="false">INT((A115-1)/12)+1</f>
        <v>10</v>
      </c>
      <c r="C115" s="4" t="n">
        <f aca="false">G114</f>
        <v>12216.3180031431</v>
      </c>
      <c r="D115" s="4" t="n">
        <f aca="false">C115*Inputs!B3/12</f>
        <v>33.0858612585126</v>
      </c>
      <c r="E115" s="4" t="n">
        <f aca="false">IF(A115&lt;=Inputs!B4,0,MIN($J$1-D115,C115))</f>
        <v>1731.05976612137</v>
      </c>
      <c r="F115" s="4" t="n">
        <f aca="false">D115+E115</f>
        <v>1764.14562737988</v>
      </c>
      <c r="G115" s="4" t="n">
        <f aca="false">C115-E115</f>
        <v>10485.2582370217</v>
      </c>
      <c r="J115" s="4"/>
    </row>
    <row r="116" customFormat="false" ht="15" hidden="false" customHeight="false" outlineLevel="0" collapsed="false">
      <c r="A116" s="0" t="n">
        <v>115</v>
      </c>
      <c r="B116" s="0" t="n">
        <f aca="false">INT((A116-1)/12)+1</f>
        <v>10</v>
      </c>
      <c r="C116" s="4" t="n">
        <f aca="false">G115</f>
        <v>10485.2582370217</v>
      </c>
      <c r="D116" s="4" t="n">
        <f aca="false">C116*Inputs!B3/12</f>
        <v>28.3975743919338</v>
      </c>
      <c r="E116" s="4" t="n">
        <f aca="false">IF(A116&lt;=Inputs!B4,0,MIN($J$1-D116,C116))</f>
        <v>1735.74805298795</v>
      </c>
      <c r="F116" s="4" t="n">
        <f aca="false">D116+E116</f>
        <v>1764.14562737988</v>
      </c>
      <c r="G116" s="4" t="n">
        <f aca="false">C116-E116</f>
        <v>8749.51018403378</v>
      </c>
      <c r="J116" s="4"/>
    </row>
    <row r="117" customFormat="false" ht="15" hidden="false" customHeight="false" outlineLevel="0" collapsed="false">
      <c r="A117" s="0" t="n">
        <v>116</v>
      </c>
      <c r="B117" s="0" t="n">
        <f aca="false">INT((A117-1)/12)+1</f>
        <v>10</v>
      </c>
      <c r="C117" s="4" t="n">
        <f aca="false">G116</f>
        <v>8749.51018403378</v>
      </c>
      <c r="D117" s="4" t="n">
        <f aca="false">C117*Inputs!B3/12</f>
        <v>23.6965900817582</v>
      </c>
      <c r="E117" s="4" t="n">
        <f aca="false">IF(A117&lt;=Inputs!B4,0,MIN($J$1-D117,C117))</f>
        <v>1740.44903729812</v>
      </c>
      <c r="F117" s="4" t="n">
        <f aca="false">D117+E117</f>
        <v>1764.14562737988</v>
      </c>
      <c r="G117" s="4" t="n">
        <f aca="false">C117-E117</f>
        <v>7009.06114673565</v>
      </c>
      <c r="J117" s="4"/>
    </row>
    <row r="118" customFormat="false" ht="15" hidden="false" customHeight="false" outlineLevel="0" collapsed="false">
      <c r="A118" s="0" t="n">
        <v>117</v>
      </c>
      <c r="B118" s="0" t="n">
        <f aca="false">INT((A118-1)/12)+1</f>
        <v>10</v>
      </c>
      <c r="C118" s="4" t="n">
        <f aca="false">G117</f>
        <v>7009.06114673565</v>
      </c>
      <c r="D118" s="4" t="n">
        <f aca="false">C118*Inputs!B3/12</f>
        <v>18.9828739390757</v>
      </c>
      <c r="E118" s="4" t="n">
        <f aca="false">IF(A118&lt;=Inputs!B4,0,MIN($J$1-D118,C118))</f>
        <v>1745.16275344081</v>
      </c>
      <c r="F118" s="4" t="n">
        <f aca="false">D118+E118</f>
        <v>1764.14562737988</v>
      </c>
      <c r="G118" s="4" t="n">
        <f aca="false">C118-E118</f>
        <v>5263.89839329485</v>
      </c>
      <c r="J118" s="4"/>
    </row>
    <row r="119" customFormat="false" ht="15" hidden="false" customHeight="false" outlineLevel="0" collapsed="false">
      <c r="A119" s="0" t="n">
        <v>118</v>
      </c>
      <c r="B119" s="0" t="n">
        <f aca="false">INT((A119-1)/12)+1</f>
        <v>10</v>
      </c>
      <c r="C119" s="4" t="n">
        <f aca="false">G118</f>
        <v>5263.89839329485</v>
      </c>
      <c r="D119" s="4" t="n">
        <f aca="false">C119*Inputs!B3/12</f>
        <v>14.2563914818402</v>
      </c>
      <c r="E119" s="4" t="n">
        <f aca="false">IF(A119&lt;=Inputs!B4,0,MIN($J$1-D119,C119))</f>
        <v>1749.88923589804</v>
      </c>
      <c r="F119" s="4" t="n">
        <f aca="false">D119+E119</f>
        <v>1764.14562737988</v>
      </c>
      <c r="G119" s="4" t="n">
        <f aca="false">C119-E119</f>
        <v>3514.0091573968</v>
      </c>
      <c r="J119" s="4"/>
    </row>
    <row r="120" customFormat="false" ht="15" hidden="false" customHeight="false" outlineLevel="0" collapsed="false">
      <c r="A120" s="0" t="n">
        <v>119</v>
      </c>
      <c r="B120" s="0" t="n">
        <f aca="false">INT((A120-1)/12)+1</f>
        <v>10</v>
      </c>
      <c r="C120" s="4" t="n">
        <f aca="false">G119</f>
        <v>3514.0091573968</v>
      </c>
      <c r="D120" s="4" t="n">
        <f aca="false">C120*Inputs!B3/12</f>
        <v>9.51710813461634</v>
      </c>
      <c r="E120" s="4" t="n">
        <f aca="false">IF(A120&lt;=Inputs!B4,0,MIN($J$1-D120,C120))</f>
        <v>1754.62851924527</v>
      </c>
      <c r="F120" s="4" t="n">
        <f aca="false">D120+E120</f>
        <v>1764.14562737988</v>
      </c>
      <c r="G120" s="4" t="n">
        <f aca="false">C120-E120</f>
        <v>1759.38063815154</v>
      </c>
      <c r="J120" s="4"/>
    </row>
    <row r="121" customFormat="false" ht="15" hidden="false" customHeight="false" outlineLevel="0" collapsed="false">
      <c r="A121" s="0" t="n">
        <v>120</v>
      </c>
      <c r="B121" s="0" t="n">
        <f aca="false">INT((A121-1)/12)+1</f>
        <v>10</v>
      </c>
      <c r="C121" s="4" t="n">
        <f aca="false">G120</f>
        <v>1759.38063815154</v>
      </c>
      <c r="D121" s="4" t="n">
        <f aca="false">C121*Inputs!B3/12</f>
        <v>4.76498922832708</v>
      </c>
      <c r="E121" s="4" t="n">
        <f aca="false">IF(A121&lt;=Inputs!B4,0,MIN($J$1-D121,C121))</f>
        <v>1759.38063815154</v>
      </c>
      <c r="F121" s="4" t="n">
        <f aca="false">D121+E121</f>
        <v>1764.14562737986</v>
      </c>
      <c r="G121" s="4" t="n">
        <f aca="false">C121-E121</f>
        <v>0</v>
      </c>
      <c r="J12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0" t="s">
        <v>28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</row>
    <row r="2" customFormat="false" ht="15" hidden="false" customHeight="false" outlineLevel="0" collapsed="false">
      <c r="A2" s="0" t="s">
        <v>39</v>
      </c>
      <c r="B2" s="5" t="n">
        <v>52846</v>
      </c>
      <c r="C2" s="5" t="n">
        <v>59063.17</v>
      </c>
      <c r="D2" s="5" t="n">
        <v>60244.44</v>
      </c>
      <c r="E2" s="5" t="n">
        <v>61449.32</v>
      </c>
      <c r="F2" s="5" t="n">
        <v>62678.31</v>
      </c>
      <c r="G2" s="5" t="n">
        <v>63931.88</v>
      </c>
      <c r="H2" s="5" t="n">
        <v>65210.51</v>
      </c>
      <c r="I2" s="5" t="n">
        <v>66514.72</v>
      </c>
      <c r="J2" s="5" t="n">
        <v>67845.02</v>
      </c>
      <c r="K2" s="5" t="n">
        <v>69201.92</v>
      </c>
    </row>
    <row r="3" customFormat="false" ht="15" hidden="false" customHeight="false" outlineLevel="0" collapsed="false">
      <c r="A3" s="0" t="s">
        <v>40</v>
      </c>
      <c r="B3" s="5" t="n">
        <v>14000</v>
      </c>
      <c r="C3" s="5" t="n">
        <v>15000</v>
      </c>
      <c r="D3" s="5" t="n">
        <v>15300</v>
      </c>
      <c r="E3" s="5" t="n">
        <v>15606</v>
      </c>
      <c r="F3" s="5" t="n">
        <v>15918.12</v>
      </c>
      <c r="G3" s="5" t="n">
        <v>16236.48</v>
      </c>
      <c r="H3" s="5" t="n">
        <v>16561.21</v>
      </c>
      <c r="I3" s="5" t="n">
        <v>16892.44</v>
      </c>
      <c r="J3" s="5" t="n">
        <v>17230.29</v>
      </c>
      <c r="K3" s="5" t="n">
        <v>17574.89</v>
      </c>
    </row>
    <row r="4" customFormat="false" ht="15" hidden="false" customHeight="false" outlineLevel="0" collapsed="false">
      <c r="A4" s="0" t="s">
        <v>41</v>
      </c>
      <c r="B4" s="5" t="n">
        <v>21349</v>
      </c>
      <c r="C4" s="5" t="n">
        <v>23483.9</v>
      </c>
      <c r="D4" s="5" t="n">
        <v>24188.42</v>
      </c>
      <c r="E4" s="5" t="n">
        <v>24914.07</v>
      </c>
      <c r="F4" s="5" t="n">
        <v>25661.49</v>
      </c>
      <c r="G4" s="5" t="n">
        <v>26431.34</v>
      </c>
      <c r="H4" s="5" t="n">
        <v>27224.28</v>
      </c>
      <c r="I4" s="5" t="n">
        <v>28041</v>
      </c>
      <c r="J4" s="5" t="n">
        <v>28882.23</v>
      </c>
      <c r="K4" s="5" t="n">
        <v>29748.7</v>
      </c>
    </row>
    <row r="5" customFormat="false" ht="15" hidden="false" customHeight="false" outlineLevel="0" collapsed="false">
      <c r="A5" s="0" t="s">
        <v>42</v>
      </c>
      <c r="B5" s="5" t="n">
        <v>8112.62</v>
      </c>
      <c r="C5" s="5" t="n">
        <v>7749.69</v>
      </c>
      <c r="D5" s="5" t="n">
        <v>7014.64</v>
      </c>
      <c r="E5" s="5" t="n">
        <v>7225.08</v>
      </c>
      <c r="F5" s="5" t="n">
        <v>7441.83</v>
      </c>
      <c r="G5" s="5" t="n">
        <v>7665.09</v>
      </c>
      <c r="H5" s="5" t="n">
        <v>7895.04</v>
      </c>
      <c r="I5" s="5" t="n">
        <v>8131.89</v>
      </c>
      <c r="J5" s="5" t="n">
        <v>8375.85</v>
      </c>
      <c r="K5" s="5" t="n">
        <v>8627.12</v>
      </c>
    </row>
    <row r="6" customFormat="false" ht="15" hidden="false" customHeight="false" outlineLevel="0" collapsed="false">
      <c r="A6" s="0" t="s">
        <v>43</v>
      </c>
      <c r="B6" s="5" t="n">
        <v>39141.9</v>
      </c>
      <c r="C6" s="5" t="n">
        <v>40120.45</v>
      </c>
      <c r="D6" s="5" t="n">
        <v>41123.46</v>
      </c>
      <c r="E6" s="5" t="n">
        <v>42151.55</v>
      </c>
      <c r="F6" s="5" t="n">
        <v>43205.33</v>
      </c>
      <c r="G6" s="5" t="n">
        <v>44285.47</v>
      </c>
      <c r="H6" s="5" t="n">
        <v>45392.6</v>
      </c>
      <c r="I6" s="5" t="n">
        <v>46527.42</v>
      </c>
      <c r="J6" s="5" t="n">
        <v>47690.6</v>
      </c>
      <c r="K6" s="5" t="n">
        <v>48882.87</v>
      </c>
    </row>
    <row r="7" customFormat="false" ht="15" hidden="false" customHeight="false" outlineLevel="0" collapsed="false">
      <c r="A7" s="0" t="s">
        <v>44</v>
      </c>
      <c r="B7" s="5" t="n">
        <v>9080</v>
      </c>
      <c r="C7" s="5" t="n">
        <v>10844.5</v>
      </c>
      <c r="D7" s="5" t="n">
        <v>11115.61</v>
      </c>
      <c r="E7" s="5" t="n">
        <v>11393.5</v>
      </c>
      <c r="F7" s="5" t="n">
        <v>11678.34</v>
      </c>
      <c r="G7" s="5" t="n">
        <v>11970.3</v>
      </c>
      <c r="H7" s="5" t="n">
        <v>12269.56</v>
      </c>
      <c r="I7" s="5" t="n">
        <v>12576.3</v>
      </c>
      <c r="J7" s="5" t="n">
        <v>12890.7</v>
      </c>
      <c r="K7" s="5" t="n">
        <v>13212.97</v>
      </c>
    </row>
    <row r="8" customFormat="false" ht="15" hidden="false" customHeight="false" outlineLevel="0" collapsed="false">
      <c r="A8" s="0" t="s">
        <v>45</v>
      </c>
      <c r="B8" s="5" t="n">
        <v>1060.47</v>
      </c>
      <c r="C8" s="5" t="n">
        <v>1154.52</v>
      </c>
      <c r="D8" s="5" t="n">
        <v>1184.65</v>
      </c>
      <c r="E8" s="5" t="n">
        <v>1215.6</v>
      </c>
      <c r="F8" s="5" t="n">
        <v>1247.39</v>
      </c>
      <c r="G8" s="5" t="n">
        <v>1280.03</v>
      </c>
      <c r="H8" s="5" t="n">
        <v>1313.56</v>
      </c>
      <c r="I8" s="5" t="n">
        <v>1348</v>
      </c>
      <c r="J8" s="5" t="n">
        <v>1383.38</v>
      </c>
      <c r="K8" s="5" t="n">
        <v>1419.71</v>
      </c>
    </row>
    <row r="9" customFormat="false" ht="15" hidden="false" customHeight="false" outlineLevel="0" collapsed="false">
      <c r="A9" s="0" t="s">
        <v>46</v>
      </c>
      <c r="B9" s="5" t="n">
        <v>530.24</v>
      </c>
      <c r="C9" s="5" t="n">
        <v>577.26</v>
      </c>
      <c r="D9" s="5" t="n">
        <v>592.33</v>
      </c>
      <c r="E9" s="5" t="n">
        <v>607.8</v>
      </c>
      <c r="F9" s="5" t="n">
        <v>623.69</v>
      </c>
      <c r="G9" s="5" t="n">
        <v>640.02</v>
      </c>
      <c r="H9" s="5" t="n">
        <v>656.78</v>
      </c>
      <c r="I9" s="5" t="n">
        <v>674</v>
      </c>
      <c r="J9" s="5" t="n">
        <v>691.69</v>
      </c>
      <c r="K9" s="5" t="n">
        <v>709.85</v>
      </c>
    </row>
    <row r="10" customFormat="false" ht="15" hidden="false" customHeight="false" outlineLevel="0" collapsed="false">
      <c r="A10" s="6" t="s">
        <v>47</v>
      </c>
      <c r="B10" s="5" t="n">
        <f aca="false">B2+B3+B4</f>
        <v>88195</v>
      </c>
      <c r="C10" s="5" t="n">
        <f aca="false">C2+C3+C4</f>
        <v>97547.07</v>
      </c>
      <c r="D10" s="5" t="n">
        <f aca="false">D2+D3+D4</f>
        <v>99732.86</v>
      </c>
      <c r="E10" s="5" t="n">
        <f aca="false">E2+E3+E4</f>
        <v>101969.39</v>
      </c>
      <c r="F10" s="5" t="n">
        <f aca="false">F2+F3+F4</f>
        <v>104257.92</v>
      </c>
      <c r="G10" s="5" t="n">
        <f aca="false">G2+G3+G4</f>
        <v>106599.7</v>
      </c>
      <c r="H10" s="5" t="n">
        <f aca="false">H2+H3+H4</f>
        <v>108996</v>
      </c>
      <c r="I10" s="5" t="n">
        <f aca="false">I2+I3+I4</f>
        <v>111448.16</v>
      </c>
      <c r="J10" s="5" t="n">
        <f aca="false">J2+J3+J4</f>
        <v>113957.54</v>
      </c>
      <c r="K10" s="5" t="n">
        <f aca="false">K2+K3+K4</f>
        <v>116525.51</v>
      </c>
    </row>
    <row r="11" customFormat="false" ht="15" hidden="false" customHeight="false" outlineLevel="0" collapsed="false">
      <c r="A11" s="6" t="s">
        <v>48</v>
      </c>
      <c r="B11" s="5" t="n">
        <f aca="false">B10-B5-B6-B7-B8-B9</f>
        <v>30269.77</v>
      </c>
      <c r="C11" s="5" t="n">
        <f aca="false">C10-C5-C6-C7-C8-C9</f>
        <v>37100.65</v>
      </c>
      <c r="D11" s="5" t="n">
        <f aca="false">D10-D5-D6-D7-D8-D9</f>
        <v>38702.17</v>
      </c>
      <c r="E11" s="5" t="n">
        <f aca="false">E10-E5-E6-E7-E8-E9</f>
        <v>39375.86</v>
      </c>
      <c r="F11" s="5" t="n">
        <f aca="false">F10-F5-F6-F7-F8-F9</f>
        <v>40061.34</v>
      </c>
      <c r="G11" s="5" t="n">
        <f aca="false">G10-G5-G6-G7-G8-G9</f>
        <v>40758.79</v>
      </c>
      <c r="H11" s="5" t="n">
        <f aca="false">H10-H5-H6-H7-H8-H9</f>
        <v>41468.46</v>
      </c>
      <c r="I11" s="5" t="n">
        <f aca="false">I10-I5-I6-I7-I8-I9</f>
        <v>42190.55</v>
      </c>
      <c r="J11" s="5" t="n">
        <f aca="false">J10-J5-J6-J7-J8-J9</f>
        <v>42925.32</v>
      </c>
      <c r="K11" s="5" t="n">
        <f aca="false">K10-K5-K6-K7-K8-K9</f>
        <v>43672.99</v>
      </c>
    </row>
    <row r="12" customFormat="false" ht="15" hidden="false" customHeight="false" outlineLevel="0" collapsed="false">
      <c r="A12" s="0" t="s">
        <v>49</v>
      </c>
      <c r="B12" s="5" t="n">
        <f aca="false">Inputs!$B$7/Inputs!$B$8</f>
        <v>7963.305</v>
      </c>
      <c r="C12" s="5" t="n">
        <f aca="false">Inputs!$B$7/Inputs!$B$8</f>
        <v>7963.305</v>
      </c>
      <c r="D12" s="5" t="n">
        <f aca="false">Inputs!$B$7/Inputs!$B$8</f>
        <v>7963.305</v>
      </c>
      <c r="E12" s="5" t="n">
        <f aca="false">Inputs!$B$7/Inputs!$B$8</f>
        <v>7963.305</v>
      </c>
      <c r="F12" s="5" t="n">
        <f aca="false">Inputs!$B$7/Inputs!$B$8</f>
        <v>7963.305</v>
      </c>
      <c r="G12" s="5" t="n">
        <f aca="false">Inputs!$B$7/Inputs!$B$8</f>
        <v>7963.305</v>
      </c>
      <c r="H12" s="5" t="n">
        <f aca="false">Inputs!$B$7/Inputs!$B$8</f>
        <v>7963.305</v>
      </c>
      <c r="I12" s="5" t="n">
        <f aca="false">Inputs!$B$7/Inputs!$B$8</f>
        <v>7963.305</v>
      </c>
      <c r="J12" s="5" t="n">
        <f aca="false">Inputs!$B$7/Inputs!$B$8</f>
        <v>7963.305</v>
      </c>
      <c r="K12" s="5" t="n">
        <f aca="false">Inputs!$B$7/Inputs!$B$8</f>
        <v>7963.305</v>
      </c>
    </row>
    <row r="13" customFormat="false" ht="15" hidden="false" customHeight="false" outlineLevel="0" collapsed="false">
      <c r="A13" s="0" t="s">
        <v>23</v>
      </c>
      <c r="B13" s="5" t="n">
        <f aca="false">SUMIF(Debt!$B:$B,1,Debt!$D:$D)</f>
        <v>5362.5</v>
      </c>
      <c r="C13" s="5" t="n">
        <f aca="false">SUMIF(Debt!$B:$B,2,Debt!$D:$D)</f>
        <v>5124.89916582717</v>
      </c>
      <c r="D13" s="5" t="n">
        <f aca="false">SUMIF(Debt!$B:$B,3,Debt!$D:$D)</f>
        <v>4595.60349611409</v>
      </c>
      <c r="E13" s="5" t="n">
        <f aca="false">SUMIF(Debt!$B:$B,4,Debt!$D:$D)</f>
        <v>4048.84714994938</v>
      </c>
      <c r="F13" s="5" t="n">
        <f aca="false">SUMIF(Debt!$B:$B,5,Debt!$D:$D)</f>
        <v>3484.0541256017</v>
      </c>
      <c r="G13" s="5" t="n">
        <f aca="false">SUMIF(Debt!$B:$B,6,Debt!$D:$D)</f>
        <v>2900.62941989978</v>
      </c>
      <c r="H13" s="5" t="n">
        <f aca="false">SUMIF(Debt!$B:$B,7,Debt!$D:$D)</f>
        <v>2297.95840140323</v>
      </c>
      <c r="I13" s="5" t="n">
        <f aca="false">SUMIF(Debt!$B:$B,8,Debt!$D:$D)</f>
        <v>1675.40616289511</v>
      </c>
      <c r="J13" s="5" t="n">
        <f aca="false">SUMIF(Debt!$B:$B,9,Debt!$D:$D)</f>
        <v>1032.31685251425</v>
      </c>
      <c r="K13" s="5" t="n">
        <f aca="false">SUMIF(Debt!$B:$B,10,Debt!$D:$D)</f>
        <v>368.012982822626</v>
      </c>
    </row>
    <row r="14" customFormat="false" ht="15" hidden="false" customHeight="false" outlineLevel="0" collapsed="false">
      <c r="A14" s="0" t="s">
        <v>50</v>
      </c>
      <c r="B14" s="5" t="n">
        <f aca="false">B11-B12-B13</f>
        <v>16943.965</v>
      </c>
      <c r="C14" s="5" t="n">
        <f aca="false">C11-C12-C13</f>
        <v>24012.4458341728</v>
      </c>
      <c r="D14" s="5" t="n">
        <f aca="false">D11-D12-D13</f>
        <v>26143.2615038859</v>
      </c>
      <c r="E14" s="5" t="n">
        <f aca="false">E11-E12-E13</f>
        <v>27363.7078500506</v>
      </c>
      <c r="F14" s="5" t="n">
        <f aca="false">F11-F12-F13</f>
        <v>28613.9808743983</v>
      </c>
      <c r="G14" s="5" t="n">
        <f aca="false">G11-G12-G13</f>
        <v>29894.8555801002</v>
      </c>
      <c r="H14" s="5" t="n">
        <f aca="false">H11-H12-H13</f>
        <v>31207.1965985968</v>
      </c>
      <c r="I14" s="5" t="n">
        <f aca="false">I11-I12-I13</f>
        <v>32551.8388371049</v>
      </c>
      <c r="J14" s="5" t="n">
        <f aca="false">J11-J12-J13</f>
        <v>33929.6981474857</v>
      </c>
      <c r="K14" s="5" t="n">
        <f aca="false">K11-K12-K13</f>
        <v>35341.6720171774</v>
      </c>
    </row>
    <row r="15" customFormat="false" ht="15" hidden="false" customHeight="false" outlineLevel="0" collapsed="false">
      <c r="A15" s="0" t="s">
        <v>51</v>
      </c>
      <c r="B15" s="5" t="n">
        <f aca="false">0</f>
        <v>0</v>
      </c>
      <c r="C15" s="5" t="n">
        <f aca="false">MAX(0,B15-B14)</f>
        <v>0</v>
      </c>
      <c r="D15" s="5" t="n">
        <f aca="false">MAX(0,C15-C14)</f>
        <v>0</v>
      </c>
      <c r="E15" s="5" t="n">
        <f aca="false">MAX(0,D15-D14)</f>
        <v>0</v>
      </c>
      <c r="F15" s="5" t="n">
        <f aca="false">MAX(0,E15-E14)</f>
        <v>0</v>
      </c>
      <c r="G15" s="5" t="n">
        <f aca="false">MAX(0,F15-F14)</f>
        <v>0</v>
      </c>
      <c r="H15" s="5" t="n">
        <f aca="false">MAX(0,G15-G14)</f>
        <v>0</v>
      </c>
      <c r="I15" s="5" t="n">
        <f aca="false">MAX(0,H15-H14)</f>
        <v>0</v>
      </c>
      <c r="J15" s="5" t="n">
        <f aca="false">MAX(0,I15-I14)</f>
        <v>0</v>
      </c>
      <c r="K15" s="5" t="n">
        <f aca="false">MAX(0,J15-J14)</f>
        <v>0</v>
      </c>
    </row>
    <row r="16" customFormat="false" ht="15" hidden="false" customHeight="false" outlineLevel="0" collapsed="false">
      <c r="A16" s="0" t="s">
        <v>52</v>
      </c>
      <c r="B16" s="5" t="n">
        <f aca="false">MAX(0,B14-B15)*Inputs!$B$6</f>
        <v>3388.793</v>
      </c>
      <c r="C16" s="5" t="n">
        <f aca="false">MAX(0,C14-C15)*Inputs!$B$6</f>
        <v>4802.48916683457</v>
      </c>
      <c r="D16" s="5" t="n">
        <f aca="false">MAX(0,D14-D15)*Inputs!$B$6</f>
        <v>5228.65230077718</v>
      </c>
      <c r="E16" s="5" t="n">
        <f aca="false">MAX(0,E14-E15)*Inputs!$B$6</f>
        <v>5472.74157001013</v>
      </c>
      <c r="F16" s="5" t="n">
        <f aca="false">MAX(0,F14-F15)*Inputs!$B$6</f>
        <v>5722.79617487966</v>
      </c>
      <c r="G16" s="5" t="n">
        <f aca="false">MAX(0,G14-G15)*Inputs!$B$6</f>
        <v>5978.97111602004</v>
      </c>
      <c r="H16" s="5" t="n">
        <f aca="false">MAX(0,H14-H15)*Inputs!$B$6</f>
        <v>6241.43931971936</v>
      </c>
      <c r="I16" s="5" t="n">
        <f aca="false">MAX(0,I14-I15)*Inputs!$B$6</f>
        <v>6510.36776742098</v>
      </c>
      <c r="J16" s="5" t="n">
        <f aca="false">MAX(0,J14-J15)*Inputs!$B$6</f>
        <v>6785.93962949715</v>
      </c>
      <c r="K16" s="5" t="n">
        <f aca="false">MAX(0,K14-K15)*Inputs!$B$6</f>
        <v>7068.33440343547</v>
      </c>
    </row>
    <row r="17" customFormat="false" ht="15" hidden="false" customHeight="false" outlineLevel="0" collapsed="false">
      <c r="A17" s="0" t="s">
        <v>53</v>
      </c>
      <c r="B17" s="5" t="n">
        <f aca="false">B14-B16</f>
        <v>13555.172</v>
      </c>
      <c r="C17" s="5" t="n">
        <f aca="false">C14-C16</f>
        <v>19209.9566673383</v>
      </c>
      <c r="D17" s="5" t="n">
        <f aca="false">D14-D16</f>
        <v>20914.6092031087</v>
      </c>
      <c r="E17" s="5" t="n">
        <f aca="false">E14-E16</f>
        <v>21890.9662800405</v>
      </c>
      <c r="F17" s="5" t="n">
        <f aca="false">F14-F16</f>
        <v>22891.1846995186</v>
      </c>
      <c r="G17" s="5" t="n">
        <f aca="false">G14-G16</f>
        <v>23915.8844640802</v>
      </c>
      <c r="H17" s="5" t="n">
        <f aca="false">H14-H16</f>
        <v>24965.7572788774</v>
      </c>
      <c r="I17" s="5" t="n">
        <f aca="false">I14-I16</f>
        <v>26041.4710696839</v>
      </c>
      <c r="J17" s="5" t="n">
        <f aca="false">J14-J16</f>
        <v>27143.7585179886</v>
      </c>
      <c r="K17" s="5" t="n">
        <f aca="false">K14-K16</f>
        <v>28273.3376137419</v>
      </c>
    </row>
    <row r="18" customFormat="false" ht="15" hidden="false" customHeight="false" outlineLevel="0" collapsed="false">
      <c r="A18" s="6" t="s">
        <v>54</v>
      </c>
      <c r="B18" s="5" t="n">
        <f aca="false">B11-B16</f>
        <v>26880.977</v>
      </c>
      <c r="C18" s="5" t="n">
        <f aca="false">C11-C16</f>
        <v>32298.1608331654</v>
      </c>
      <c r="D18" s="5" t="n">
        <f aca="false">D11-D16</f>
        <v>33473.5176992228</v>
      </c>
      <c r="E18" s="5" t="n">
        <f aca="false">E11-E16</f>
        <v>33903.1184299899</v>
      </c>
      <c r="F18" s="5" t="n">
        <f aca="false">F11-F16</f>
        <v>34338.5438251203</v>
      </c>
      <c r="G18" s="5" t="n">
        <f aca="false">G11-G16</f>
        <v>34779.81888398</v>
      </c>
      <c r="H18" s="5" t="n">
        <f aca="false">H11-H16</f>
        <v>35227.0206802807</v>
      </c>
      <c r="I18" s="5" t="n">
        <f aca="false">I11-I16</f>
        <v>35680.182232579</v>
      </c>
      <c r="J18" s="5" t="n">
        <f aca="false">J11-J16</f>
        <v>36139.3803705028</v>
      </c>
      <c r="K18" s="5" t="n">
        <f aca="false">K11-K16</f>
        <v>36604.6555965645</v>
      </c>
    </row>
    <row r="19" customFormat="false" ht="15" hidden="false" customHeight="false" outlineLevel="0" collapsed="false">
      <c r="A19" s="0" t="s">
        <v>24</v>
      </c>
      <c r="B19" s="5" t="n">
        <f aca="false">SUMIF(Debt!$B:$B,1,Debt!$E:$E)</f>
        <v>0</v>
      </c>
      <c r="C19" s="5" t="n">
        <f aca="false">SUMIF(Debt!$B:$B,2,Debt!$E:$E)</f>
        <v>16044.8483627314</v>
      </c>
      <c r="D19" s="5" t="n">
        <f aca="false">SUMIF(Debt!$B:$B,3,Debt!$E:$E)</f>
        <v>16574.1440324445</v>
      </c>
      <c r="E19" s="5" t="n">
        <f aca="false">SUMIF(Debt!$B:$B,4,Debt!$E:$E)</f>
        <v>17120.9003786092</v>
      </c>
      <c r="F19" s="5" t="n">
        <f aca="false">SUMIF(Debt!$B:$B,5,Debt!$E:$E)</f>
        <v>17685.6934029569</v>
      </c>
      <c r="G19" s="5" t="n">
        <f aca="false">SUMIF(Debt!$B:$B,6,Debt!$E:$E)</f>
        <v>18269.1181086588</v>
      </c>
      <c r="H19" s="5" t="n">
        <f aca="false">SUMIF(Debt!$B:$B,7,Debt!$E:$E)</f>
        <v>18871.7891271554</v>
      </c>
      <c r="I19" s="5" t="n">
        <f aca="false">SUMIF(Debt!$B:$B,8,Debt!$E:$E)</f>
        <v>19494.3413656635</v>
      </c>
      <c r="J19" s="5" t="n">
        <f aca="false">SUMIF(Debt!$B:$B,9,Debt!$E:$E)</f>
        <v>20137.4306760443</v>
      </c>
      <c r="K19" s="5" t="n">
        <f aca="false">SUMIF(Debt!$B:$B,10,Debt!$E:$E)</f>
        <v>20801.7345457359</v>
      </c>
    </row>
    <row r="20" customFormat="false" ht="15" hidden="false" customHeight="false" outlineLevel="0" collapsed="false">
      <c r="A20" s="0" t="s">
        <v>55</v>
      </c>
      <c r="B20" s="5" t="n">
        <f aca="false">B13+B19</f>
        <v>5362.5</v>
      </c>
      <c r="C20" s="5" t="n">
        <f aca="false">C13+C19</f>
        <v>21169.7475285586</v>
      </c>
      <c r="D20" s="5" t="n">
        <f aca="false">D13+D19</f>
        <v>21169.7475285586</v>
      </c>
      <c r="E20" s="5" t="n">
        <f aca="false">E13+E19</f>
        <v>21169.7475285586</v>
      </c>
      <c r="F20" s="5" t="n">
        <f aca="false">F13+F19</f>
        <v>21169.7475285586</v>
      </c>
      <c r="G20" s="5" t="n">
        <f aca="false">G13+G19</f>
        <v>21169.7475285586</v>
      </c>
      <c r="H20" s="5" t="n">
        <f aca="false">H13+H19</f>
        <v>21169.7475285586</v>
      </c>
      <c r="I20" s="5" t="n">
        <f aca="false">I13+I19</f>
        <v>21169.7475285586</v>
      </c>
      <c r="J20" s="5" t="n">
        <f aca="false">J13+J19</f>
        <v>21169.7475285586</v>
      </c>
      <c r="K20" s="5" t="n">
        <f aca="false">K13+K19</f>
        <v>21169.7475285586</v>
      </c>
    </row>
    <row r="21" customFormat="false" ht="15" hidden="false" customHeight="false" outlineLevel="0" collapsed="false">
      <c r="A21" s="6" t="s">
        <v>56</v>
      </c>
      <c r="B21" s="4" t="n">
        <f aca="false">IF(B20=0,"-",B18/B20)</f>
        <v>5.0127696037296</v>
      </c>
      <c r="C21" s="4" t="n">
        <f aca="false">IF(C20=0,"-",C18/C20)</f>
        <v>1.52567529629696</v>
      </c>
      <c r="D21" s="4" t="n">
        <f aca="false">IF(D20=0,"-",D18/D20)</f>
        <v>1.581195885972</v>
      </c>
      <c r="E21" s="4" t="n">
        <f aca="false">IF(E20=0,"-",E18/E20)</f>
        <v>1.60148902977013</v>
      </c>
      <c r="F21" s="4" t="n">
        <f aca="false">IF(F20=0,"-",F18/F20)</f>
        <v>1.62205731451434</v>
      </c>
      <c r="G21" s="4" t="n">
        <f aca="false">IF(G20=0,"-",G18/G20)</f>
        <v>1.64290192110515</v>
      </c>
      <c r="H21" s="4" t="n">
        <f aca="false">IF(H20=0,"-",H18/H20)</f>
        <v>1.66402649029037</v>
      </c>
      <c r="I21" s="4" t="n">
        <f aca="false">IF(I20=0,"-",I18/I20)</f>
        <v>1.68543258177479</v>
      </c>
      <c r="J21" s="4" t="n">
        <f aca="false">IF(J20=0,"-",J18/J20)</f>
        <v>1.70712382477636</v>
      </c>
      <c r="K21" s="4" t="n">
        <f aca="false">IF(K20=0,"-",K18/K20)</f>
        <v>1.72910213252113</v>
      </c>
    </row>
    <row r="22" customFormat="false" ht="15" hidden="false" customHeight="false" outlineLevel="0" collapsed="false">
      <c r="A22" s="0" t="s">
        <v>57</v>
      </c>
      <c r="B22" s="5" t="n">
        <f aca="false">Inputs!$B$9+B18-B20</f>
        <v>46147.477</v>
      </c>
      <c r="C22" s="5" t="n">
        <f aca="false">B22+C18-C20</f>
        <v>57275.8903046068</v>
      </c>
      <c r="D22" s="5" t="n">
        <f aca="false">C22+D18-D20</f>
        <v>69579.6604752711</v>
      </c>
      <c r="E22" s="5" t="n">
        <f aca="false">D22+E18-E20</f>
        <v>82313.0313767023</v>
      </c>
      <c r="F22" s="5" t="n">
        <f aca="false">E22+F18-F20</f>
        <v>95481.8276732641</v>
      </c>
      <c r="G22" s="5" t="n">
        <f aca="false">F22+G18-G20</f>
        <v>109091.899028685</v>
      </c>
      <c r="H22" s="5" t="n">
        <f aca="false">G22+H18-H20</f>
        <v>123149.172180408</v>
      </c>
      <c r="I22" s="5" t="n">
        <f aca="false">H22+I18-I20</f>
        <v>137659.606884428</v>
      </c>
      <c r="J22" s="5" t="n">
        <f aca="false">I22+J18-J20</f>
        <v>152629.239726372</v>
      </c>
      <c r="K22" s="5" t="n">
        <f aca="false">J22+K18-K20</f>
        <v>168064.147794378</v>
      </c>
    </row>
    <row r="23" customFormat="false" ht="15" hidden="false" customHeight="false" outlineLevel="0" collapsed="false">
      <c r="A23" s="0" t="s">
        <v>58</v>
      </c>
      <c r="B23" s="4" t="n">
        <f aca="false">IF(B20=0,"-",B2/B20)</f>
        <v>9.85473193473194</v>
      </c>
      <c r="C23" s="4" t="n">
        <f aca="false">IF(C20=0,"-",C2/C20)</f>
        <v>2.7899798956186</v>
      </c>
      <c r="D23" s="4" t="n">
        <f aca="false">IF(D20=0,"-",D2/D20)</f>
        <v>2.84577980529662</v>
      </c>
      <c r="E23" s="4" t="n">
        <f aca="false">IF(E20=0,"-",E2/E20)</f>
        <v>2.90269498571502</v>
      </c>
      <c r="F23" s="4" t="n">
        <f aca="false">IF(F20=0,"-",F2/F20)</f>
        <v>2.96074905548331</v>
      </c>
      <c r="G23" s="4" t="n">
        <f aca="false">IF(G20=0,"-",G2/G20)</f>
        <v>3.01996421609441</v>
      </c>
      <c r="H23" s="4" t="n">
        <f aca="false">IF(H20=0,"-",H2/H20)</f>
        <v>3.08036314141343</v>
      </c>
      <c r="I23" s="4" t="n">
        <f aca="false">IF(I20=0,"-",I2/I20)</f>
        <v>3.14197039479426</v>
      </c>
      <c r="J23" s="4" t="n">
        <f aca="false">IF(J20=0,"-",J2/J20)</f>
        <v>3.20481006721857</v>
      </c>
      <c r="K23" s="4" t="n">
        <f aca="false">IF(K20=0,"-",K2/K20)</f>
        <v>3.26890624966806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</cols>
  <sheetData>
    <row r="1" customFormat="false" ht="15" hidden="false" customHeight="false" outlineLevel="0" collapsed="false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  <c r="K1" s="0" t="s">
        <v>62</v>
      </c>
      <c r="L1" s="0" t="s">
        <v>69</v>
      </c>
      <c r="M1" s="0" t="s">
        <v>70</v>
      </c>
      <c r="N1" s="0" t="s">
        <v>71</v>
      </c>
      <c r="O1" s="0" t="s">
        <v>72</v>
      </c>
      <c r="P1" s="0" t="s">
        <v>73</v>
      </c>
      <c r="Q1" s="0" t="s">
        <v>74</v>
      </c>
      <c r="R1" s="0" t="s">
        <v>75</v>
      </c>
      <c r="S1" s="0" t="s">
        <v>65</v>
      </c>
    </row>
    <row r="2" customFormat="false" ht="15" hidden="false" customHeight="false" outlineLevel="0" collapsed="false">
      <c r="A2" s="0" t="s">
        <v>76</v>
      </c>
      <c r="B2" s="4" t="n">
        <v>200000</v>
      </c>
      <c r="C2" s="4" t="n">
        <v>2115.38807015121</v>
      </c>
      <c r="D2" s="4" t="n">
        <v>1.27712721330688</v>
      </c>
      <c r="E2" s="4" t="n">
        <v>1.27712721330688</v>
      </c>
      <c r="F2" s="4" t="n">
        <v>1.37016814456284</v>
      </c>
      <c r="G2" s="4" t="n">
        <v>1.44231208678049</v>
      </c>
      <c r="H2" s="4" t="n">
        <v>81742.3778</v>
      </c>
      <c r="I2" s="4" t="n">
        <v>34461.9115763255</v>
      </c>
      <c r="J2" s="4" t="n">
        <v>4.50141296666667</v>
      </c>
      <c r="K2" s="4" t="n">
        <v>1.27712721330688</v>
      </c>
      <c r="L2" s="4" t="n">
        <v>1.32288887476249</v>
      </c>
      <c r="M2" s="4" t="n">
        <v>1.33926761529825</v>
      </c>
      <c r="N2" s="4" t="n">
        <v>1.35586967089287</v>
      </c>
      <c r="O2" s="4" t="n">
        <v>1.37269738797859</v>
      </c>
      <c r="P2" s="4" t="n">
        <v>1.38975312140444</v>
      </c>
      <c r="Q2" s="4" t="n">
        <v>1.40703923407288</v>
      </c>
      <c r="R2" s="4" t="n">
        <v>1.42455809656866</v>
      </c>
      <c r="S2" s="4" t="n">
        <v>1.44231208678049</v>
      </c>
    </row>
    <row r="3" customFormat="false" ht="15" hidden="false" customHeight="false" outlineLevel="0" collapsed="false">
      <c r="A3" s="0" t="s">
        <v>77</v>
      </c>
      <c r="B3" s="4" t="n">
        <v>200000</v>
      </c>
      <c r="C3" s="4" t="n">
        <v>2138.35833621805</v>
      </c>
      <c r="D3" s="4" t="n">
        <v>1.26715550301094</v>
      </c>
      <c r="E3" s="4" t="n">
        <v>1.26715550301094</v>
      </c>
      <c r="F3" s="4" t="n">
        <v>1.3575981869611</v>
      </c>
      <c r="G3" s="4" t="n">
        <v>1.42711761031414</v>
      </c>
      <c r="H3" s="4" t="n">
        <v>81342.3778</v>
      </c>
      <c r="I3" s="4" t="n">
        <v>37442.7003115481</v>
      </c>
      <c r="J3" s="4" t="n">
        <v>4.17053504615385</v>
      </c>
      <c r="K3" s="4" t="n">
        <v>1.26715550301094</v>
      </c>
      <c r="L3" s="4" t="n">
        <v>1.31208426622478</v>
      </c>
      <c r="M3" s="4" t="n">
        <v>1.32792249434573</v>
      </c>
      <c r="N3" s="4" t="n">
        <v>1.34395726146878</v>
      </c>
      <c r="O3" s="4" t="n">
        <v>1.36018970900014</v>
      </c>
      <c r="P3" s="4" t="n">
        <v>1.37662093632601</v>
      </c>
      <c r="Q3" s="4" t="n">
        <v>1.39325199844476</v>
      </c>
      <c r="R3" s="4" t="n">
        <v>1.41008390351458</v>
      </c>
      <c r="S3" s="4" t="n">
        <v>1.42711761031414</v>
      </c>
    </row>
    <row r="4" customFormat="false" ht="15" hidden="false" customHeight="false" outlineLevel="0" collapsed="false">
      <c r="A4" s="0" t="s">
        <v>78</v>
      </c>
      <c r="B4" s="4" t="n">
        <v>165000</v>
      </c>
      <c r="C4" s="4" t="n">
        <v>1764.14562737989</v>
      </c>
      <c r="D4" s="4" t="n">
        <v>1.52567574977425</v>
      </c>
      <c r="E4" s="4" t="n">
        <v>1.52567574977425</v>
      </c>
      <c r="F4" s="4" t="n">
        <v>1.63988937674417</v>
      </c>
      <c r="G4" s="4" t="n">
        <v>1.72910202844727</v>
      </c>
      <c r="H4" s="4" t="n">
        <v>46147.4778</v>
      </c>
      <c r="I4" s="4" t="n">
        <v>30890.2277570271</v>
      </c>
      <c r="J4" s="4" t="n">
        <v>5.01276975291376</v>
      </c>
      <c r="K4" s="4" t="n">
        <v>1.52567574977425</v>
      </c>
      <c r="L4" s="4" t="n">
        <v>1.58119556693182</v>
      </c>
      <c r="M4" s="4" t="n">
        <v>1.60148912068334</v>
      </c>
      <c r="N4" s="4" t="n">
        <v>1.62205704908966</v>
      </c>
      <c r="O4" s="4" t="n">
        <v>1.64290192806171</v>
      </c>
      <c r="P4" s="4" t="n">
        <v>1.66402632191224</v>
      </c>
      <c r="Q4" s="4" t="n">
        <v>1.68543278178326</v>
      </c>
      <c r="R4" s="4" t="n">
        <v>1.70712384401395</v>
      </c>
      <c r="S4" s="4" t="n">
        <v>1.72910202844727</v>
      </c>
    </row>
    <row r="5" customFormat="false" ht="15" hidden="false" customHeight="false" outlineLevel="0" collapsed="false">
      <c r="A5" s="0" t="s">
        <v>79</v>
      </c>
      <c r="B5" s="4" t="n">
        <v>200000</v>
      </c>
      <c r="C5" s="4" t="n">
        <v>2255.51852150883</v>
      </c>
      <c r="D5" s="4" t="n">
        <v>1.2191478985024</v>
      </c>
      <c r="E5" s="4" t="n">
        <v>1.2191478985024</v>
      </c>
      <c r="F5" s="4" t="n">
        <v>1.29746814733461</v>
      </c>
      <c r="G5" s="4" t="n">
        <v>1.35448239800844</v>
      </c>
      <c r="H5" s="4" t="n">
        <v>79342.3778</v>
      </c>
      <c r="I5" s="4" t="n">
        <v>52596.0003229482</v>
      </c>
      <c r="J5" s="4" t="n">
        <v>3.06760864444445</v>
      </c>
      <c r="K5" s="4" t="n">
        <v>1.2191478985024</v>
      </c>
      <c r="L5" s="4" t="n">
        <v>1.26022275106936</v>
      </c>
      <c r="M5" s="4" t="n">
        <v>1.27358690737782</v>
      </c>
      <c r="N5" s="4" t="n">
        <v>1.28699810551365</v>
      </c>
      <c r="O5" s="4" t="n">
        <v>1.30044893644386</v>
      </c>
      <c r="P5" s="4" t="n">
        <v>1.31393149219511</v>
      </c>
      <c r="Q5" s="4" t="n">
        <v>1.32743734024091</v>
      </c>
      <c r="R5" s="4" t="n">
        <v>1.34095749665997</v>
      </c>
      <c r="S5" s="4" t="n">
        <v>1.35448239800844</v>
      </c>
    </row>
    <row r="6" customFormat="false" ht="15" hidden="false" customHeight="false" outlineLevel="0" collapsed="false">
      <c r="A6" s="0" t="s">
        <v>80</v>
      </c>
      <c r="B6" s="4" t="n">
        <v>200000</v>
      </c>
      <c r="C6" s="4" t="n">
        <v>2368.69367455769</v>
      </c>
      <c r="D6" s="4" t="n">
        <v>5.01126009230769</v>
      </c>
      <c r="E6" s="4" t="n">
        <v>1.1887171230093</v>
      </c>
      <c r="F6" s="4" t="n">
        <v>1.65736867831208</v>
      </c>
      <c r="G6" s="4" t="n">
        <v>1.28868063326117</v>
      </c>
      <c r="H6" s="4" t="n">
        <v>81342.3778</v>
      </c>
      <c r="I6" s="4" t="n">
        <v>40394.5927575361</v>
      </c>
      <c r="J6" s="4" t="n">
        <v>4.17053504615385</v>
      </c>
      <c r="K6" s="4" t="n">
        <v>5.01126009230769</v>
      </c>
      <c r="L6" s="4" t="n">
        <v>1.1887171230093</v>
      </c>
      <c r="M6" s="4" t="n">
        <v>1.20251292186885</v>
      </c>
      <c r="N6" s="4" t="n">
        <v>1.21646957798065</v>
      </c>
      <c r="O6" s="4" t="n">
        <v>1.23058757513916</v>
      </c>
      <c r="P6" s="4" t="n">
        <v>1.24486734117277</v>
      </c>
      <c r="Q6" s="4" t="n">
        <v>1.25930924521132</v>
      </c>
      <c r="R6" s="4" t="n">
        <v>1.27391359485781</v>
      </c>
      <c r="S6" s="4" t="n">
        <v>1.28868063326117</v>
      </c>
    </row>
    <row r="7" customFormat="false" ht="15" hidden="false" customHeight="false" outlineLevel="0" collapsed="false">
      <c r="A7" s="0" t="s">
        <v>81</v>
      </c>
      <c r="B7" s="4" t="n">
        <v>200000</v>
      </c>
      <c r="C7" s="4" t="n">
        <v>2531.34792205649</v>
      </c>
      <c r="D7" s="4" t="n">
        <v>1.07904072127357</v>
      </c>
      <c r="E7" s="4" t="n">
        <v>1.07904072127357</v>
      </c>
      <c r="F7" s="4" t="n">
        <v>1.45978098033149</v>
      </c>
      <c r="G7" s="4" t="n">
        <v>1.78302781739962</v>
      </c>
      <c r="H7" s="4" t="n">
        <v>73162.9972549866</v>
      </c>
      <c r="I7" s="4" t="n">
        <v>39193.8354341614</v>
      </c>
      <c r="J7" s="4" t="n">
        <v>1.82596696652654</v>
      </c>
      <c r="K7" s="4" t="n">
        <v>1.07904072127357</v>
      </c>
      <c r="L7" s="4" t="n">
        <v>1.11359200564348</v>
      </c>
      <c r="M7" s="4" t="n">
        <v>1.12322149486641</v>
      </c>
      <c r="N7" s="4" t="n">
        <v>1.13263720651388</v>
      </c>
      <c r="O7" s="4" t="n">
        <v>1.69338625289413</v>
      </c>
      <c r="P7" s="4" t="n">
        <v>1.71534871219549</v>
      </c>
      <c r="Q7" s="4" t="n">
        <v>1.73760792166513</v>
      </c>
      <c r="R7" s="4" t="n">
        <v>1.76016669053169</v>
      </c>
      <c r="S7" s="4" t="n">
        <v>1.78302781739962</v>
      </c>
    </row>
    <row r="8" customFormat="false" ht="15" hidden="false" customHeight="false" outlineLevel="0" collapsed="false">
      <c r="A8" s="0" t="s">
        <v>82</v>
      </c>
      <c r="B8" s="4" t="n">
        <v>200000</v>
      </c>
      <c r="C8" s="4" t="n">
        <v>2501.25531887414</v>
      </c>
      <c r="D8" s="4" t="n">
        <v>1.13171182383113</v>
      </c>
      <c r="E8" s="4" t="n">
        <v>1.13171182383113</v>
      </c>
      <c r="F8" s="4" t="n">
        <v>1.18964696422649</v>
      </c>
      <c r="G8" s="4" t="n">
        <v>1.2244718895222</v>
      </c>
      <c r="H8" s="4" t="n">
        <v>75342.3778</v>
      </c>
      <c r="I8" s="4" t="n">
        <v>84135.5744384084</v>
      </c>
      <c r="J8" s="4" t="n">
        <v>2.0434627</v>
      </c>
      <c r="K8" s="4" t="n">
        <v>1.13171182383113</v>
      </c>
      <c r="L8" s="4" t="n">
        <v>1.1664303394767</v>
      </c>
      <c r="M8" s="4" t="n">
        <v>1.175844059456</v>
      </c>
      <c r="N8" s="4" t="n">
        <v>1.18495393451552</v>
      </c>
      <c r="O8" s="4" t="n">
        <v>1.19372110365472</v>
      </c>
      <c r="P8" s="4" t="n">
        <v>1.20210360127246</v>
      </c>
      <c r="Q8" s="4" t="n">
        <v>1.21005612707719</v>
      </c>
      <c r="R8" s="4" t="n">
        <v>1.21752979923246</v>
      </c>
      <c r="S8" s="4" t="n">
        <v>1.2244718895222</v>
      </c>
    </row>
    <row r="9" customFormat="false" ht="15" hidden="false" customHeight="false" outlineLevel="0" collapsed="false">
      <c r="A9" s="0" t="s">
        <v>83</v>
      </c>
      <c r="B9" s="4" t="n">
        <v>200000</v>
      </c>
      <c r="C9" s="4" t="n">
        <v>4200.37226194314</v>
      </c>
      <c r="D9" s="4" t="n">
        <v>0.690263481829024</v>
      </c>
      <c r="E9" s="4" t="n">
        <v>0.68842765659872</v>
      </c>
      <c r="F9" s="4" t="n">
        <v>0.695044821897089</v>
      </c>
      <c r="G9" s="4"/>
      <c r="H9" s="4" t="n">
        <v>-5513.13847436288</v>
      </c>
      <c r="I9" s="4" t="n">
        <v>71022.3357165855</v>
      </c>
      <c r="J9" s="4" t="n">
        <v>1.55834093684211</v>
      </c>
      <c r="K9" s="4" t="n">
        <v>0.690263481829024</v>
      </c>
      <c r="L9" s="4" t="n">
        <v>0.702761673382486</v>
      </c>
      <c r="M9" s="4" t="n">
        <v>0.699251909498313</v>
      </c>
      <c r="N9" s="4" t="n">
        <v>0.694519388176903</v>
      </c>
      <c r="O9" s="4" t="n">
        <v>0.68842765659872</v>
      </c>
      <c r="P9" s="4"/>
      <c r="Q9" s="4"/>
      <c r="R9" s="4"/>
      <c r="S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</cols>
  <sheetData>
    <row r="1" customFormat="false" ht="15" hidden="false" customHeight="false" outlineLevel="0" collapsed="false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  <c r="K1" s="0" t="s">
        <v>62</v>
      </c>
      <c r="L1" s="0" t="s">
        <v>69</v>
      </c>
      <c r="M1" s="0" t="s">
        <v>70</v>
      </c>
      <c r="N1" s="0" t="s">
        <v>71</v>
      </c>
      <c r="O1" s="0" t="s">
        <v>72</v>
      </c>
      <c r="P1" s="0" t="s">
        <v>73</v>
      </c>
      <c r="Q1" s="0" t="s">
        <v>74</v>
      </c>
      <c r="R1" s="0" t="s">
        <v>75</v>
      </c>
      <c r="S1" s="0" t="s">
        <v>65</v>
      </c>
    </row>
    <row r="2" customFormat="false" ht="15" hidden="false" customHeight="false" outlineLevel="0" collapsed="false">
      <c r="A2" s="0" t="s">
        <v>84</v>
      </c>
      <c r="B2" s="4" t="n">
        <v>165000</v>
      </c>
      <c r="C2" s="4" t="n">
        <v>1764.14562737989</v>
      </c>
      <c r="D2" s="4" t="n">
        <v>1.52567574977425</v>
      </c>
      <c r="E2" s="4" t="n">
        <v>1.52567574977425</v>
      </c>
      <c r="F2" s="4" t="n">
        <v>1.63988937674417</v>
      </c>
      <c r="G2" s="4" t="n">
        <v>1.72910202844727</v>
      </c>
      <c r="H2" s="4" t="n">
        <v>46147.4778</v>
      </c>
      <c r="I2" s="4" t="n">
        <v>30890.2277570271</v>
      </c>
      <c r="J2" s="4" t="n">
        <v>5.01276975291376</v>
      </c>
      <c r="K2" s="4" t="n">
        <v>1.52567574977425</v>
      </c>
      <c r="L2" s="4" t="n">
        <v>1.58119556693182</v>
      </c>
      <c r="M2" s="4" t="n">
        <v>1.60148912068334</v>
      </c>
      <c r="N2" s="4" t="n">
        <v>1.62205704908966</v>
      </c>
      <c r="O2" s="4" t="n">
        <v>1.64290192806171</v>
      </c>
      <c r="P2" s="4" t="n">
        <v>1.66402632191224</v>
      </c>
      <c r="Q2" s="4" t="n">
        <v>1.68543278178326</v>
      </c>
      <c r="R2" s="4" t="n">
        <v>1.70712384401395</v>
      </c>
      <c r="S2" s="4" t="n">
        <v>1.72910202844727</v>
      </c>
    </row>
    <row r="3" customFormat="false" ht="15" hidden="false" customHeight="false" outlineLevel="0" collapsed="false">
      <c r="A3" s="0" t="s">
        <v>85</v>
      </c>
      <c r="B3" s="4" t="n">
        <v>265000</v>
      </c>
      <c r="C3" s="4" t="n">
        <v>2833.32479548892</v>
      </c>
      <c r="D3" s="4" t="n">
        <v>1.39341222205993</v>
      </c>
      <c r="E3" s="4" t="n">
        <v>1.39341222205993</v>
      </c>
      <c r="F3" s="4" t="n">
        <v>1.59922481665921</v>
      </c>
      <c r="G3" s="4" t="n">
        <v>1.64253724147169</v>
      </c>
      <c r="H3" s="4" t="n">
        <v>49021.1662571429</v>
      </c>
      <c r="I3" s="4" t="n">
        <v>49611.5779128012</v>
      </c>
      <c r="J3" s="4" t="n">
        <v>3.83218185859424</v>
      </c>
      <c r="K3" s="4" t="n">
        <v>1.39341222205993</v>
      </c>
      <c r="L3" s="4" t="n">
        <v>1.5880050984725</v>
      </c>
      <c r="M3" s="4" t="n">
        <v>1.60709609373202</v>
      </c>
      <c r="N3" s="4" t="n">
        <v>1.62642029674715</v>
      </c>
      <c r="O3" s="4" t="n">
        <v>1.64597868812607</v>
      </c>
      <c r="P3" s="4" t="n">
        <v>1.66577217535141</v>
      </c>
      <c r="Q3" s="4" t="n">
        <v>1.60176772225761</v>
      </c>
      <c r="R3" s="4" t="n">
        <v>1.6220338117145</v>
      </c>
      <c r="S3" s="4" t="n">
        <v>1.64253724147169</v>
      </c>
    </row>
    <row r="4" customFormat="false" ht="15" hidden="false" customHeight="false" outlineLevel="0" collapsed="false">
      <c r="A4" s="0" t="s">
        <v>86</v>
      </c>
      <c r="B4" s="4" t="n">
        <v>265000</v>
      </c>
      <c r="C4" s="4" t="n">
        <v>2833.32479548892</v>
      </c>
      <c r="D4" s="4" t="n">
        <v>0.953827491869667</v>
      </c>
      <c r="E4" s="4" t="n">
        <v>0.953827491869667</v>
      </c>
      <c r="F4" s="4" t="n">
        <v>1.03390293325049</v>
      </c>
      <c r="G4" s="4" t="n">
        <v>1.01693224056167</v>
      </c>
      <c r="H4" s="4" t="n">
        <v>35838.910454133</v>
      </c>
      <c r="I4" s="4" t="n">
        <v>49611.5779128012</v>
      </c>
      <c r="J4" s="4" t="n">
        <v>2.48386310595066</v>
      </c>
      <c r="K4" s="4" t="n">
        <v>0.953827491869667</v>
      </c>
      <c r="L4" s="4" t="n">
        <v>1.0809712443374</v>
      </c>
      <c r="M4" s="4" t="n">
        <v>1.05013123802224</v>
      </c>
      <c r="N4" s="4" t="n">
        <v>1.05657378234184</v>
      </c>
      <c r="O4" s="4" t="n">
        <v>1.06538506653253</v>
      </c>
      <c r="P4" s="4" t="n">
        <v>1.07423275000338</v>
      </c>
      <c r="Q4" s="4" t="n">
        <v>0.999080228796916</v>
      </c>
      <c r="R4" s="4" t="n">
        <v>1.00799235678876</v>
      </c>
      <c r="S4" s="4" t="n">
        <v>1.01693224056167</v>
      </c>
    </row>
    <row r="5" customFormat="false" ht="15" hidden="false" customHeight="false" outlineLevel="0" collapsed="false">
      <c r="A5" s="0" t="s">
        <v>87</v>
      </c>
      <c r="B5" s="4" t="n">
        <v>265000</v>
      </c>
      <c r="C5" s="4" t="n">
        <v>2833.32479548892</v>
      </c>
      <c r="D5" s="4" t="n">
        <v>0.77476445228883</v>
      </c>
      <c r="E5" s="4" t="n">
        <v>0.77476445228883</v>
      </c>
      <c r="F5" s="4" t="n">
        <v>0.860074263504278</v>
      </c>
      <c r="G5" s="4" t="n">
        <v>0.823344337340737</v>
      </c>
      <c r="H5" s="4" t="n">
        <v>-9705.87534396031</v>
      </c>
      <c r="I5" s="4" t="n">
        <v>49611.5779128012</v>
      </c>
      <c r="J5" s="4" t="n">
        <v>1.98487907111756</v>
      </c>
      <c r="K5" s="4" t="n">
        <v>0.77476445228883</v>
      </c>
      <c r="L5" s="4" t="n">
        <v>0.870308844830533</v>
      </c>
      <c r="M5" s="4" t="n">
        <v>0.883465931485251</v>
      </c>
      <c r="N5" s="4" t="n">
        <v>0.896803587537275</v>
      </c>
      <c r="O5" s="4" t="n">
        <v>0.910324069713763</v>
      </c>
      <c r="P5" s="4" t="n">
        <v>0.924029667299327</v>
      </c>
      <c r="Q5" s="4" t="n">
        <v>0.83942718623532</v>
      </c>
      <c r="R5" s="4" t="n">
        <v>0.818200294807471</v>
      </c>
      <c r="S5" s="4" t="n">
        <v>0.823344337340737</v>
      </c>
    </row>
    <row r="6" customFormat="false" ht="15" hidden="false" customHeight="false" outlineLevel="0" collapsed="false">
      <c r="A6" s="0" t="s">
        <v>88</v>
      </c>
      <c r="B6" s="4" t="n">
        <v>215000</v>
      </c>
      <c r="C6" s="4" t="n">
        <v>2529.43453341809</v>
      </c>
      <c r="D6" s="4" t="n">
        <v>1.07904615851909</v>
      </c>
      <c r="E6" s="4" t="n">
        <v>1.07904615851909</v>
      </c>
      <c r="F6" s="4" t="n">
        <v>1.37846761028578</v>
      </c>
      <c r="G6" s="4" t="n">
        <v>1.77273042265393</v>
      </c>
      <c r="H6" s="4" t="n">
        <v>41574.0492285714</v>
      </c>
      <c r="I6" s="4" t="n">
        <v>37616.0289917766</v>
      </c>
      <c r="J6" s="4" t="n">
        <v>3.42505176795298</v>
      </c>
      <c r="K6" s="4" t="n">
        <v>1.07904615851909</v>
      </c>
      <c r="L6" s="4" t="n">
        <v>1.18985229498373</v>
      </c>
      <c r="M6" s="4" t="n">
        <v>1.20216960654801</v>
      </c>
      <c r="N6" s="4" t="n">
        <v>1.21460048678635</v>
      </c>
      <c r="O6" s="4" t="n">
        <v>1.22714397101348</v>
      </c>
      <c r="P6" s="4" t="n">
        <v>1.23979899519909</v>
      </c>
      <c r="Q6" s="4" t="n">
        <v>1.72975098752143</v>
      </c>
      <c r="R6" s="4" t="n">
        <v>1.75111556934691</v>
      </c>
      <c r="S6" s="4" t="n">
        <v>1.77273042265393</v>
      </c>
    </row>
    <row r="7" customFormat="false" ht="15" hidden="false" customHeight="false" outlineLevel="0" collapsed="false">
      <c r="A7" s="0" t="s">
        <v>89</v>
      </c>
      <c r="B7" s="4" t="n">
        <v>215000</v>
      </c>
      <c r="C7" s="4" t="n">
        <v>2529.43453341809</v>
      </c>
      <c r="D7" s="4" t="n">
        <v>1.58429279887116</v>
      </c>
      <c r="E7" s="4" t="n">
        <v>1.58429279887116</v>
      </c>
      <c r="F7" s="4" t="n">
        <v>2.11811025011485</v>
      </c>
      <c r="G7" s="4" t="n">
        <v>2.77748996957003</v>
      </c>
      <c r="H7" s="4" t="n">
        <v>51292.5948285714</v>
      </c>
      <c r="I7" s="4" t="n">
        <v>37616.0289917766</v>
      </c>
      <c r="J7" s="4" t="n">
        <v>4.81589908101201</v>
      </c>
      <c r="K7" s="4" t="n">
        <v>1.58429279887116</v>
      </c>
      <c r="L7" s="4" t="n">
        <v>1.80473656237699</v>
      </c>
      <c r="M7" s="4" t="n">
        <v>1.82865873942096</v>
      </c>
      <c r="N7" s="4" t="n">
        <v>1.85290926195188</v>
      </c>
      <c r="O7" s="4" t="n">
        <v>1.87749102780832</v>
      </c>
      <c r="P7" s="4" t="n">
        <v>1.90240690190899</v>
      </c>
      <c r="Q7" s="4" t="n">
        <v>2.69770362853406</v>
      </c>
      <c r="R7" s="4" t="n">
        <v>2.73730336059128</v>
      </c>
      <c r="S7" s="4" t="n">
        <v>2.77748996957003</v>
      </c>
    </row>
    <row r="8" customFormat="false" ht="15" hidden="false" customHeight="false" outlineLevel="0" collapsed="false">
      <c r="A8" s="0" t="s">
        <v>90</v>
      </c>
      <c r="B8" s="4" t="n">
        <v>215000</v>
      </c>
      <c r="C8" s="4" t="n">
        <v>2529.43453341809</v>
      </c>
      <c r="D8" s="4" t="n">
        <v>1.5503119308879</v>
      </c>
      <c r="E8" s="4" t="n">
        <v>1.5503119308879</v>
      </c>
      <c r="F8" s="4" t="n">
        <v>2.04591220523215</v>
      </c>
      <c r="G8" s="4" t="n">
        <v>2.6359072169259</v>
      </c>
      <c r="H8" s="4" t="n">
        <v>50321.1662571429</v>
      </c>
      <c r="I8" s="4" t="n">
        <v>37616.0289917766</v>
      </c>
      <c r="J8" s="4" t="n">
        <v>4.67687531408127</v>
      </c>
      <c r="K8" s="4" t="n">
        <v>1.5503119308879</v>
      </c>
      <c r="L8" s="4" t="n">
        <v>1.76872954984155</v>
      </c>
      <c r="M8" s="4" t="n">
        <v>1.79057492871952</v>
      </c>
      <c r="N8" s="4" t="n">
        <v>1.8126967331303</v>
      </c>
      <c r="O8" s="4" t="n">
        <v>1.83509656291359</v>
      </c>
      <c r="P8" s="4" t="n">
        <v>1.85777595253928</v>
      </c>
      <c r="Q8" s="4" t="n">
        <v>2.56294312631479</v>
      </c>
      <c r="R8" s="4" t="n">
        <v>2.59917384581653</v>
      </c>
      <c r="S8" s="4" t="n">
        <v>2.6359072169259</v>
      </c>
    </row>
    <row r="9" customFormat="false" ht="15" hidden="false" customHeight="false" outlineLevel="0" collapsed="false">
      <c r="A9" s="0" t="s">
        <v>91</v>
      </c>
      <c r="B9" s="4" t="n">
        <v>215000</v>
      </c>
      <c r="C9" s="4" t="n">
        <v>2529.43453341809</v>
      </c>
      <c r="D9" s="4" t="n">
        <v>2.51771902695533</v>
      </c>
      <c r="E9" s="4" t="n">
        <v>2.51771902695533</v>
      </c>
      <c r="F9" s="4" t="n">
        <v>3.43066227509833</v>
      </c>
      <c r="G9" s="4" t="n">
        <v>4.4937490411941</v>
      </c>
      <c r="H9" s="4" t="n">
        <v>69805.5862571429</v>
      </c>
      <c r="I9" s="4" t="n">
        <v>37616.0289917766</v>
      </c>
      <c r="J9" s="4" t="n">
        <v>7.46534329261437</v>
      </c>
      <c r="K9" s="4" t="n">
        <v>2.51771902695533</v>
      </c>
      <c r="L9" s="4" t="n">
        <v>2.9295554687867</v>
      </c>
      <c r="M9" s="4" t="n">
        <v>2.97316481774285</v>
      </c>
      <c r="N9" s="4" t="n">
        <v>3.01746273610179</v>
      </c>
      <c r="O9" s="4" t="n">
        <v>3.06245848819235</v>
      </c>
      <c r="P9" s="4" t="n">
        <v>3.10816141180362</v>
      </c>
      <c r="Q9" s="4" t="n">
        <v>4.35159349511264</v>
      </c>
      <c r="R9" s="4" t="n">
        <v>4.42209598999561</v>
      </c>
      <c r="S9" s="4" t="n">
        <v>4.4937490411941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</cols>
  <sheetData>
    <row r="1" customFormat="false" ht="15" hidden="false" customHeight="false" outlineLevel="0" collapsed="false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  <c r="K1" s="0" t="s">
        <v>62</v>
      </c>
      <c r="L1" s="0" t="s">
        <v>69</v>
      </c>
      <c r="M1" s="0" t="s">
        <v>70</v>
      </c>
      <c r="N1" s="0" t="s">
        <v>71</v>
      </c>
      <c r="O1" s="0" t="s">
        <v>72</v>
      </c>
      <c r="P1" s="0" t="s">
        <v>73</v>
      </c>
      <c r="Q1" s="0" t="s">
        <v>74</v>
      </c>
      <c r="R1" s="0" t="s">
        <v>75</v>
      </c>
      <c r="S1" s="0" t="s">
        <v>65</v>
      </c>
    </row>
    <row r="2" customFormat="false" ht="15" hidden="false" customHeight="false" outlineLevel="0" collapsed="false">
      <c r="A2" s="0" t="s">
        <v>92</v>
      </c>
      <c r="B2" s="4" t="n">
        <v>165000</v>
      </c>
      <c r="C2" s="4" t="n">
        <v>1764.14562737989</v>
      </c>
      <c r="D2" s="4" t="n">
        <v>1.52567574977425</v>
      </c>
      <c r="E2" s="4" t="n">
        <v>1.52567574977425</v>
      </c>
      <c r="F2" s="4" t="n">
        <v>1.63988937674417</v>
      </c>
      <c r="G2" s="4" t="n">
        <v>1.72910202844727</v>
      </c>
      <c r="H2" s="4" t="n">
        <v>46147.4778</v>
      </c>
      <c r="I2" s="4" t="n">
        <v>30890.2277570271</v>
      </c>
      <c r="J2" s="4" t="n">
        <v>5.01276975291376</v>
      </c>
      <c r="K2" s="4" t="n">
        <v>1.52567574977425</v>
      </c>
      <c r="L2" s="4" t="n">
        <v>1.58119556693182</v>
      </c>
      <c r="M2" s="4" t="n">
        <v>1.60148912068334</v>
      </c>
      <c r="N2" s="4" t="n">
        <v>1.62205704908966</v>
      </c>
      <c r="O2" s="4" t="n">
        <v>1.64290192806171</v>
      </c>
      <c r="P2" s="4" t="n">
        <v>1.66402632191224</v>
      </c>
      <c r="Q2" s="4" t="n">
        <v>1.68543278178326</v>
      </c>
      <c r="R2" s="4" t="n">
        <v>1.70712384401395</v>
      </c>
      <c r="S2" s="4" t="n">
        <v>1.72910202844727</v>
      </c>
    </row>
    <row r="3" customFormat="false" ht="15" hidden="false" customHeight="false" outlineLevel="0" collapsed="false">
      <c r="A3" s="0" t="s">
        <v>93</v>
      </c>
      <c r="B3" s="4" t="n">
        <v>165000</v>
      </c>
      <c r="C3" s="4" t="n">
        <v>1764.14562737989</v>
      </c>
      <c r="D3" s="4" t="n">
        <v>1.290730066398</v>
      </c>
      <c r="E3" s="4" t="n">
        <v>1.290730066398</v>
      </c>
      <c r="F3" s="4" t="n">
        <v>1.38524406087418</v>
      </c>
      <c r="G3" s="4" t="n">
        <v>1.45382571449348</v>
      </c>
      <c r="H3" s="4" t="n">
        <v>46147.4778</v>
      </c>
      <c r="I3" s="4" t="n">
        <v>30890.2277570271</v>
      </c>
      <c r="J3" s="4" t="n">
        <v>5.01276975291376</v>
      </c>
      <c r="K3" s="4" t="n">
        <v>1.290730066398</v>
      </c>
      <c r="L3" s="4" t="n">
        <v>1.34155096988804</v>
      </c>
      <c r="M3" s="4" t="n">
        <v>1.35705163169869</v>
      </c>
      <c r="N3" s="4" t="n">
        <v>1.37273081032531</v>
      </c>
      <c r="O3" s="4" t="n">
        <v>1.38858916452207</v>
      </c>
      <c r="P3" s="4" t="n">
        <v>1.40462730310181</v>
      </c>
      <c r="Q3" s="4" t="n">
        <v>1.42084578259662</v>
      </c>
      <c r="R3" s="4" t="n">
        <v>1.43724510484358</v>
      </c>
      <c r="S3" s="4" t="n">
        <v>1.45382571449348</v>
      </c>
    </row>
    <row r="4" customFormat="false" ht="15" hidden="false" customHeight="false" outlineLevel="0" collapsed="false">
      <c r="A4" s="0" t="s">
        <v>94</v>
      </c>
      <c r="B4" s="4" t="n">
        <v>165000</v>
      </c>
      <c r="C4" s="4" t="n">
        <v>1764.14562737989</v>
      </c>
      <c r="D4" s="4" t="n">
        <v>0.938311541333615</v>
      </c>
      <c r="E4" s="4" t="n">
        <v>0.938311541333615</v>
      </c>
      <c r="F4" s="4" t="n">
        <v>1.00327608706919</v>
      </c>
      <c r="G4" s="4" t="n">
        <v>1.04091124356278</v>
      </c>
      <c r="H4" s="4" t="n">
        <v>36771.6917468842</v>
      </c>
      <c r="I4" s="4" t="n">
        <v>30890.2277570271</v>
      </c>
      <c r="J4" s="4" t="n">
        <v>3.62151358508159</v>
      </c>
      <c r="K4" s="4" t="n">
        <v>0.938311541333615</v>
      </c>
      <c r="L4" s="4" t="n">
        <v>0.982084074322367</v>
      </c>
      <c r="M4" s="4" t="n">
        <v>0.990395398221706</v>
      </c>
      <c r="N4" s="4" t="n">
        <v>0.998741452178786</v>
      </c>
      <c r="O4" s="4" t="n">
        <v>1.00712001921262</v>
      </c>
      <c r="P4" s="4" t="n">
        <v>1.01552877488617</v>
      </c>
      <c r="Q4" s="4" t="n">
        <v>1.02396528381667</v>
      </c>
      <c r="R4" s="4" t="n">
        <v>1.03242699608802</v>
      </c>
      <c r="S4" s="4" t="n">
        <v>1.04091124356278</v>
      </c>
    </row>
    <row r="5" customFormat="false" ht="15" hidden="false" customHeight="false" outlineLevel="0" collapsed="false">
      <c r="A5" s="0" t="s">
        <v>95</v>
      </c>
      <c r="B5" s="4" t="n">
        <v>165000</v>
      </c>
      <c r="C5" s="4" t="n">
        <v>1764.14562737989</v>
      </c>
      <c r="D5" s="4" t="n">
        <v>1.19287779124897</v>
      </c>
      <c r="E5" s="4" t="n">
        <v>1.19287779124897</v>
      </c>
      <c r="F5" s="4" t="n">
        <v>1.27308180876527</v>
      </c>
      <c r="G5" s="4" t="n">
        <v>1.32940400915351</v>
      </c>
      <c r="H5" s="4" t="n">
        <v>39868.14412</v>
      </c>
      <c r="I5" s="4" t="n">
        <v>30890.2277570271</v>
      </c>
      <c r="J5" s="4" t="n">
        <v>3.84179843729604</v>
      </c>
      <c r="K5" s="4" t="n">
        <v>1.19287779124897</v>
      </c>
      <c r="L5" s="4" t="n">
        <v>1.23753069280966</v>
      </c>
      <c r="M5" s="4" t="n">
        <v>1.25034308930967</v>
      </c>
      <c r="N5" s="4" t="n">
        <v>1.26326200152637</v>
      </c>
      <c r="O5" s="4" t="n">
        <v>1.27628610111815</v>
      </c>
      <c r="P5" s="4" t="n">
        <v>1.28941395364793</v>
      </c>
      <c r="Q5" s="4" t="n">
        <v>1.30264401462833</v>
      </c>
      <c r="R5" s="4" t="n">
        <v>1.31597462544482</v>
      </c>
      <c r="S5" s="4" t="n">
        <v>1.32940400915351</v>
      </c>
    </row>
    <row r="6" customFormat="false" ht="15" hidden="false" customHeight="false" outlineLevel="0" collapsed="false">
      <c r="A6" s="0" t="s">
        <v>96</v>
      </c>
      <c r="B6" s="4" t="n">
        <v>165000</v>
      </c>
      <c r="C6" s="4" t="n">
        <v>1764.14562737989</v>
      </c>
      <c r="D6" s="4" t="n">
        <v>0.860079832723686</v>
      </c>
      <c r="E6" s="4" t="n">
        <v>0.860079832723686</v>
      </c>
      <c r="F6" s="4" t="n">
        <v>0.906274240786368</v>
      </c>
      <c r="G6" s="4" t="n">
        <v>0.929705989859752</v>
      </c>
      <c r="H6" s="4" t="n">
        <v>15731.4545047244</v>
      </c>
      <c r="I6" s="4" t="n">
        <v>30890.2277570271</v>
      </c>
      <c r="J6" s="4" t="n">
        <v>2.67082712167832</v>
      </c>
      <c r="K6" s="4" t="n">
        <v>0.860079832723686</v>
      </c>
      <c r="L6" s="4" t="n">
        <v>0.8938658186875</v>
      </c>
      <c r="M6" s="4" t="n">
        <v>0.899197057935999</v>
      </c>
      <c r="N6" s="4" t="n">
        <v>0.904466953963079</v>
      </c>
      <c r="O6" s="4" t="n">
        <v>0.909670274174583</v>
      </c>
      <c r="P6" s="4" t="n">
        <v>0.914801585383616</v>
      </c>
      <c r="Q6" s="4" t="n">
        <v>0.919855247473397</v>
      </c>
      <c r="R6" s="4" t="n">
        <v>0.9248254068757</v>
      </c>
      <c r="S6" s="4" t="n">
        <v>0.929705989859752</v>
      </c>
    </row>
    <row r="7" customFormat="false" ht="15" hidden="false" customHeight="false" outlineLevel="0" collapsed="false">
      <c r="A7" s="0" t="s">
        <v>97</v>
      </c>
      <c r="B7" s="4" t="n">
        <v>165000</v>
      </c>
      <c r="C7" s="4" t="n">
        <v>1764.14562737989</v>
      </c>
      <c r="D7" s="4" t="n">
        <v>0.504539751151543</v>
      </c>
      <c r="E7" s="4" t="n">
        <v>0.504539751151543</v>
      </c>
      <c r="F7" s="4" t="n">
        <v>0.546398509320442</v>
      </c>
      <c r="G7" s="4" t="n">
        <v>0.560543981506495</v>
      </c>
      <c r="H7" s="4" t="n">
        <v>-60434.8916263764</v>
      </c>
      <c r="I7" s="4" t="n">
        <v>30890.2277570271</v>
      </c>
      <c r="J7" s="4" t="n">
        <v>1.25357010722611</v>
      </c>
      <c r="K7" s="4" t="n">
        <v>0.504539751151543</v>
      </c>
      <c r="L7" s="4" t="n">
        <v>0.539439202975581</v>
      </c>
      <c r="M7" s="4" t="n">
        <v>0.543208617786498</v>
      </c>
      <c r="N7" s="4" t="n">
        <v>0.546904530527315</v>
      </c>
      <c r="O7" s="4" t="n">
        <v>0.550522546713417</v>
      </c>
      <c r="P7" s="4" t="n">
        <v>0.554058134793902</v>
      </c>
      <c r="Q7" s="4" t="n">
        <v>0.557506622898858</v>
      </c>
      <c r="R7" s="4" t="n">
        <v>0.560863195530373</v>
      </c>
      <c r="S7" s="4" t="n">
        <v>0.560543981506495</v>
      </c>
    </row>
    <row r="8" customFormat="false" ht="15" hidden="false" customHeight="false" outlineLevel="0" collapsed="false">
      <c r="A8" s="0" t="s">
        <v>98</v>
      </c>
      <c r="B8" s="4" t="n">
        <v>165000</v>
      </c>
      <c r="C8" s="4" t="n">
        <v>1764.14562737989</v>
      </c>
      <c r="D8" s="4" t="n">
        <v>1.1404849680231</v>
      </c>
      <c r="E8" s="4" t="n">
        <v>1.1404849680231</v>
      </c>
      <c r="F8" s="4" t="n">
        <v>1.21384616810837</v>
      </c>
      <c r="G8" s="4" t="n">
        <v>1.25978446386753</v>
      </c>
      <c r="H8" s="4" t="n">
        <v>38431.9738</v>
      </c>
      <c r="I8" s="4" t="n">
        <v>30890.2277570271</v>
      </c>
      <c r="J8" s="4" t="n">
        <v>3.57398112820513</v>
      </c>
      <c r="K8" s="4" t="n">
        <v>1.1404849680231</v>
      </c>
      <c r="L8" s="4" t="n">
        <v>1.18637501563689</v>
      </c>
      <c r="M8" s="4" t="n">
        <v>1.19679805560604</v>
      </c>
      <c r="N8" s="4" t="n">
        <v>1.20724870738542</v>
      </c>
      <c r="O8" s="4" t="n">
        <v>1.21772337781487</v>
      </c>
      <c r="P8" s="4" t="n">
        <v>1.22821830790923</v>
      </c>
      <c r="Q8" s="4" t="n">
        <v>1.23872956743017</v>
      </c>
      <c r="R8" s="4" t="n">
        <v>1.24925304930203</v>
      </c>
      <c r="S8" s="4" t="n">
        <v>1.25978446386753</v>
      </c>
    </row>
    <row r="9" customFormat="false" ht="15" hidden="false" customHeight="false" outlineLevel="0" collapsed="false">
      <c r="A9" s="0" t="s">
        <v>99</v>
      </c>
      <c r="B9" s="4" t="n">
        <v>165000</v>
      </c>
      <c r="C9" s="4" t="n">
        <v>1764.14562737989</v>
      </c>
      <c r="D9" s="4" t="n">
        <v>1.24996154996502</v>
      </c>
      <c r="E9" s="4" t="n">
        <v>1.24996154996502</v>
      </c>
      <c r="F9" s="4" t="n">
        <v>1.34105720204179</v>
      </c>
      <c r="G9" s="4" t="n">
        <v>1.40605889976523</v>
      </c>
      <c r="H9" s="4" t="n">
        <v>40925.0778</v>
      </c>
      <c r="I9" s="4" t="n">
        <v>30890.2277570271</v>
      </c>
      <c r="J9" s="4" t="n">
        <v>4.03889562703963</v>
      </c>
      <c r="K9" s="4" t="n">
        <v>1.24996154996502</v>
      </c>
      <c r="L9" s="4" t="n">
        <v>1.2999670831264</v>
      </c>
      <c r="M9" s="4" t="n">
        <v>1.31463606720182</v>
      </c>
      <c r="N9" s="4" t="n">
        <v>1.3294669345385</v>
      </c>
      <c r="O9" s="4" t="n">
        <v>1.34446001121953</v>
      </c>
      <c r="P9" s="4" t="n">
        <v>1.35961556673322</v>
      </c>
      <c r="Q9" s="4" t="n">
        <v>1.37493381150066</v>
      </c>
      <c r="R9" s="4" t="n">
        <v>1.39041489432569</v>
      </c>
      <c r="S9" s="4" t="n">
        <v>1.40605889976523</v>
      </c>
    </row>
    <row r="10" customFormat="false" ht="15" hidden="false" customHeight="false" outlineLevel="0" collapsed="false">
      <c r="A10" s="0" t="s">
        <v>100</v>
      </c>
      <c r="B10" s="4" t="n">
        <v>165000</v>
      </c>
      <c r="C10" s="4" t="n">
        <v>1764.14562737989</v>
      </c>
      <c r="D10" s="4" t="n">
        <v>0.0230512739626061</v>
      </c>
      <c r="E10" s="4" t="n">
        <v>-0.0225240655276715</v>
      </c>
      <c r="F10" s="4" t="n">
        <v>0.0142421550468602</v>
      </c>
      <c r="G10" s="4" t="n">
        <v>-0.0225240655276715</v>
      </c>
      <c r="H10" s="4" t="n">
        <v>-171469.812617586</v>
      </c>
      <c r="I10" s="4" t="n">
        <v>30890.2277570271</v>
      </c>
      <c r="J10" s="4" t="n">
        <v>-0.544915673659674</v>
      </c>
      <c r="K10" s="4" t="n">
        <v>0.0230512739626061</v>
      </c>
      <c r="L10" s="4" t="n">
        <v>0.0459135138569215</v>
      </c>
      <c r="M10" s="4" t="n">
        <v>0.0373447864398715</v>
      </c>
      <c r="N10" s="4" t="n">
        <v>0.0283941033970234</v>
      </c>
      <c r="O10" s="4" t="n">
        <v>0.0190493589048683</v>
      </c>
      <c r="P10" s="4" t="n">
        <v>0.00929811729013921</v>
      </c>
      <c r="Q10" s="4" t="n">
        <v>-0.000872395042499262</v>
      </c>
      <c r="R10" s="4" t="n">
        <v>-0.0114752978595173</v>
      </c>
      <c r="S10" s="4" t="n">
        <v>-0.0225240655276715</v>
      </c>
    </row>
    <row r="11" customFormat="false" ht="15" hidden="false" customHeight="false" outlineLevel="0" collapsed="false">
      <c r="A11" s="0" t="s">
        <v>101</v>
      </c>
      <c r="B11" s="4" t="n">
        <v>165000</v>
      </c>
      <c r="C11" s="4" t="n">
        <v>1764.14562737989</v>
      </c>
      <c r="D11" s="4" t="n">
        <v>1.5143329324819</v>
      </c>
      <c r="E11" s="4" t="n">
        <v>1.5143329324819</v>
      </c>
      <c r="F11" s="4" t="n">
        <v>1.62576761829325</v>
      </c>
      <c r="G11" s="4" t="n">
        <v>1.71240760674221</v>
      </c>
      <c r="H11" s="4" t="n">
        <v>45978.03814</v>
      </c>
      <c r="I11" s="4" t="n">
        <v>30890.2277570271</v>
      </c>
      <c r="J11" s="4" t="n">
        <v>4.98117261351982</v>
      </c>
      <c r="K11" s="4" t="n">
        <v>1.5143329324819</v>
      </c>
      <c r="L11" s="4" t="n">
        <v>1.56884622123172</v>
      </c>
      <c r="M11" s="4" t="n">
        <v>1.58856326494562</v>
      </c>
      <c r="N11" s="4" t="n">
        <v>1.60854060359966</v>
      </c>
      <c r="O11" s="4" t="n">
        <v>1.6287804295772</v>
      </c>
      <c r="P11" s="4" t="n">
        <v>1.6492849122186</v>
      </c>
      <c r="Q11" s="4" t="n">
        <v>1.67005619588593</v>
      </c>
      <c r="R11" s="4" t="n">
        <v>1.69109639795641</v>
      </c>
      <c r="S11" s="4" t="n">
        <v>1.71240760674221</v>
      </c>
    </row>
    <row r="12" customFormat="false" ht="15" hidden="false" customHeight="false" outlineLevel="0" collapsed="false">
      <c r="A12" s="0" t="s">
        <v>102</v>
      </c>
      <c r="B12" s="4" t="n">
        <v>165000</v>
      </c>
      <c r="C12" s="4" t="n">
        <v>1764.14562737989</v>
      </c>
      <c r="D12" s="4" t="n">
        <v>1.52567574977425</v>
      </c>
      <c r="E12" s="4" t="n">
        <v>1.34596103796079</v>
      </c>
      <c r="F12" s="4" t="n">
        <v>1.4527428680537</v>
      </c>
      <c r="G12" s="4" t="n">
        <v>1.34596103796079</v>
      </c>
      <c r="H12" s="4" t="n">
        <v>46147.4778</v>
      </c>
      <c r="I12" s="4" t="n">
        <v>30890.2277570271</v>
      </c>
      <c r="J12" s="4" t="n">
        <v>5.01276975291376</v>
      </c>
      <c r="K12" s="4" t="n">
        <v>1.52567574977425</v>
      </c>
      <c r="L12" s="4" t="n">
        <v>1.53655588709033</v>
      </c>
      <c r="M12" s="4" t="n">
        <v>1.51131696740354</v>
      </c>
      <c r="N12" s="4" t="n">
        <v>1.48544177290277</v>
      </c>
      <c r="O12" s="4" t="n">
        <v>1.45891466650959</v>
      </c>
      <c r="P12" s="4" t="n">
        <v>1.43171963528759</v>
      </c>
      <c r="Q12" s="4" t="n">
        <v>1.40384028158463</v>
      </c>
      <c r="R12" s="4" t="n">
        <v>1.37525981396986</v>
      </c>
      <c r="S12" s="4" t="n">
        <v>1.34596103796079</v>
      </c>
    </row>
    <row r="13" customFormat="false" ht="15" hidden="false" customHeight="false" outlineLevel="0" collapsed="false">
      <c r="A13" s="0" t="s">
        <v>103</v>
      </c>
      <c r="B13" s="4" t="n">
        <v>165000</v>
      </c>
      <c r="C13" s="4" t="n">
        <v>1860.80278024478</v>
      </c>
      <c r="D13" s="4" t="n">
        <v>1.46423962329909</v>
      </c>
      <c r="E13" s="4" t="n">
        <v>1.46423962329909</v>
      </c>
      <c r="F13" s="4" t="n">
        <v>1.56509606222743</v>
      </c>
      <c r="G13" s="4" t="n">
        <v>1.64078060029099</v>
      </c>
      <c r="H13" s="4" t="n">
        <v>44497.4778</v>
      </c>
      <c r="I13" s="4" t="n">
        <v>43391.7002664324</v>
      </c>
      <c r="J13" s="4" t="n">
        <v>3.67588926599327</v>
      </c>
      <c r="K13" s="4" t="n">
        <v>1.46423962329909</v>
      </c>
      <c r="L13" s="4" t="n">
        <v>1.51535539030498</v>
      </c>
      <c r="M13" s="4" t="n">
        <v>1.53294344573546</v>
      </c>
      <c r="N13" s="4" t="n">
        <v>1.55065233556704</v>
      </c>
      <c r="O13" s="4" t="n">
        <v>1.56847601075784</v>
      </c>
      <c r="P13" s="4" t="n">
        <v>1.58640795216724</v>
      </c>
      <c r="Q13" s="4" t="n">
        <v>1.60444114569699</v>
      </c>
      <c r="R13" s="4" t="n">
        <v>1.62256805622728</v>
      </c>
      <c r="S13" s="4" t="n">
        <v>1.64078060029099</v>
      </c>
    </row>
    <row r="14" customFormat="false" ht="15" hidden="false" customHeight="false" outlineLevel="0" collapsed="false">
      <c r="A14" s="0" t="s">
        <v>104</v>
      </c>
      <c r="B14" s="4" t="n">
        <v>165000</v>
      </c>
      <c r="C14" s="4" t="n">
        <v>1764.14562737989</v>
      </c>
      <c r="D14" s="4" t="n">
        <v>1.19687707182073</v>
      </c>
      <c r="E14" s="4" t="n">
        <v>1.19687707182073</v>
      </c>
      <c r="F14" s="4" t="n">
        <v>1.26520582303694</v>
      </c>
      <c r="G14" s="4" t="n">
        <v>1.31454546533431</v>
      </c>
      <c r="H14" s="4" t="n">
        <v>39992.5158</v>
      </c>
      <c r="I14" s="4" t="n">
        <v>30890.2277570271</v>
      </c>
      <c r="J14" s="4" t="n">
        <v>3.86499129137529</v>
      </c>
      <c r="K14" s="4" t="n">
        <v>1.19687707182073</v>
      </c>
      <c r="L14" s="4" t="n">
        <v>1.23318804614011</v>
      </c>
      <c r="M14" s="4" t="n">
        <v>1.24469787016859</v>
      </c>
      <c r="N14" s="4" t="n">
        <v>1.25625168687818</v>
      </c>
      <c r="O14" s="4" t="n">
        <v>1.26784582331898</v>
      </c>
      <c r="P14" s="4" t="n">
        <v>1.27947642072902</v>
      </c>
      <c r="Q14" s="4" t="n">
        <v>1.29113942800038</v>
      </c>
      <c r="R14" s="4" t="n">
        <v>1.30283059494213</v>
      </c>
      <c r="S14" s="4" t="n">
        <v>1.31454546533431</v>
      </c>
    </row>
    <row r="15" customFormat="false" ht="15" hidden="false" customHeight="false" outlineLevel="0" collapsed="false">
      <c r="A15" s="0" t="s">
        <v>105</v>
      </c>
      <c r="B15" s="4" t="n">
        <v>165000</v>
      </c>
      <c r="C15" s="4" t="n">
        <v>1764.14562737989</v>
      </c>
      <c r="D15" s="4" t="n">
        <v>0.977677953185044</v>
      </c>
      <c r="E15" s="4" t="n">
        <v>0.977677953185044</v>
      </c>
      <c r="F15" s="4" t="n">
        <v>1.01541678723212</v>
      </c>
      <c r="G15" s="4" t="n">
        <v>1.038174423259</v>
      </c>
      <c r="H15" s="4" t="n">
        <v>35416.6557046067</v>
      </c>
      <c r="I15" s="4" t="n">
        <v>30890.2277570271</v>
      </c>
      <c r="J15" s="4" t="n">
        <v>3.09980565034965</v>
      </c>
      <c r="K15" s="4" t="n">
        <v>0.977677953185044</v>
      </c>
      <c r="L15" s="4" t="n">
        <v>1.00118303227898</v>
      </c>
      <c r="M15" s="4" t="n">
        <v>1.00683703649209</v>
      </c>
      <c r="N15" s="4" t="n">
        <v>1.01238144540387</v>
      </c>
      <c r="O15" s="4" t="n">
        <v>1.01780842015716</v>
      </c>
      <c r="P15" s="4" t="n">
        <v>1.02310981994022</v>
      </c>
      <c r="Q15" s="4" t="n">
        <v>1.02827719214513</v>
      </c>
      <c r="R15" s="4" t="n">
        <v>1.03330176222758</v>
      </c>
      <c r="S15" s="4" t="n">
        <v>1.038174423259</v>
      </c>
    </row>
    <row r="16" customFormat="false" ht="15" hidden="false" customHeight="false" outlineLevel="0" collapsed="false">
      <c r="A16" s="0" t="s">
        <v>106</v>
      </c>
      <c r="B16" s="4" t="n">
        <v>165000</v>
      </c>
      <c r="C16" s="4" t="n">
        <v>1764.14562737989</v>
      </c>
      <c r="D16" s="4" t="n">
        <v>0.762940844305149</v>
      </c>
      <c r="E16" s="4" t="n">
        <v>0.762940844305149</v>
      </c>
      <c r="F16" s="4" t="n">
        <v>0.782764230761659</v>
      </c>
      <c r="G16" s="4" t="n">
        <v>0.791520468822097</v>
      </c>
      <c r="H16" s="4" t="n">
        <v>-10116.0682005309</v>
      </c>
      <c r="I16" s="4" t="n">
        <v>30890.2277570271</v>
      </c>
      <c r="J16" s="4" t="n">
        <v>2.23904322610723</v>
      </c>
      <c r="K16" s="4" t="n">
        <v>0.762940844305149</v>
      </c>
      <c r="L16" s="4" t="n">
        <v>0.777863311756932</v>
      </c>
      <c r="M16" s="4" t="n">
        <v>0.780266641097749</v>
      </c>
      <c r="N16" s="4" t="n">
        <v>0.782531833225921</v>
      </c>
      <c r="O16" s="4" t="n">
        <v>0.784651572593674</v>
      </c>
      <c r="P16" s="4" t="n">
        <v>0.786618284989212</v>
      </c>
      <c r="Q16" s="4" t="n">
        <v>0.788424129545771</v>
      </c>
      <c r="R16" s="4" t="n">
        <v>0.790060990518428</v>
      </c>
      <c r="S16" s="4" t="n">
        <v>0.791520468822097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</cols>
  <sheetData>
    <row r="1" customFormat="false" ht="15" hidden="false" customHeight="false" outlineLevel="0" collapsed="false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  <c r="K1" s="0" t="s">
        <v>62</v>
      </c>
      <c r="L1" s="0" t="s">
        <v>69</v>
      </c>
      <c r="M1" s="0" t="s">
        <v>70</v>
      </c>
      <c r="N1" s="0" t="s">
        <v>71</v>
      </c>
      <c r="O1" s="0" t="s">
        <v>72</v>
      </c>
      <c r="P1" s="0" t="s">
        <v>73</v>
      </c>
      <c r="Q1" s="0" t="s">
        <v>74</v>
      </c>
      <c r="R1" s="0" t="s">
        <v>75</v>
      </c>
      <c r="S1" s="0" t="s">
        <v>65</v>
      </c>
    </row>
    <row r="2" customFormat="false" ht="15" hidden="false" customHeight="false" outlineLevel="0" collapsed="false">
      <c r="A2" s="0" t="s">
        <v>107</v>
      </c>
      <c r="B2" s="4" t="n">
        <v>250000</v>
      </c>
      <c r="C2" s="4" t="n">
        <v>2672.94792027257</v>
      </c>
      <c r="D2" s="4" t="n">
        <v>1.02340784177696</v>
      </c>
      <c r="E2" s="4" t="n">
        <v>1.02340784177696</v>
      </c>
      <c r="F2" s="4" t="n">
        <v>1.09143792230849</v>
      </c>
      <c r="G2" s="4" t="n">
        <v>1.14238944464576</v>
      </c>
      <c r="H2" s="4" t="n">
        <v>43937.4778</v>
      </c>
      <c r="I2" s="4" t="n">
        <v>46803.3753894351</v>
      </c>
      <c r="J2" s="4" t="n">
        <v>3.37642803692308</v>
      </c>
      <c r="K2" s="4" t="n">
        <v>1.02340784177696</v>
      </c>
      <c r="L2" s="4" t="n">
        <v>1.05835075412957</v>
      </c>
      <c r="M2" s="4" t="n">
        <v>1.06998824665599</v>
      </c>
      <c r="N2" s="4" t="n">
        <v>1.08174889028339</v>
      </c>
      <c r="O2" s="4" t="n">
        <v>1.09363247388494</v>
      </c>
      <c r="P2" s="4" t="n">
        <v>1.10563871563042</v>
      </c>
      <c r="Q2" s="4" t="n">
        <v>1.11776725986846</v>
      </c>
      <c r="R2" s="4" t="n">
        <v>1.1300176739009</v>
      </c>
      <c r="S2" s="4" t="n">
        <v>1.14238944464576</v>
      </c>
    </row>
    <row r="3" customFormat="false" ht="15" hidden="false" customHeight="false" outlineLevel="0" collapsed="false">
      <c r="A3" s="0" t="s">
        <v>108</v>
      </c>
      <c r="B3" s="4" t="n">
        <v>305000</v>
      </c>
      <c r="C3" s="4" t="n">
        <v>3260.99646273253</v>
      </c>
      <c r="D3" s="4" t="n">
        <v>0.847589856624582</v>
      </c>
      <c r="E3" s="4" t="n">
        <v>0.847589856624582</v>
      </c>
      <c r="F3" s="4" t="n">
        <v>0.899453469116443</v>
      </c>
      <c r="G3" s="4" t="n">
        <v>0.937011751376776</v>
      </c>
      <c r="H3" s="4" t="n">
        <v>7096.23459245909</v>
      </c>
      <c r="I3" s="4" t="n">
        <v>57100.1179751107</v>
      </c>
      <c r="J3" s="4" t="n">
        <v>2.80362953846154</v>
      </c>
      <c r="K3" s="4" t="n">
        <v>0.847589856624582</v>
      </c>
      <c r="L3" s="4" t="n">
        <v>0.875329860159262</v>
      </c>
      <c r="M3" s="4" t="n">
        <v>0.883937313896171</v>
      </c>
      <c r="N3" s="4" t="n">
        <v>0.892614983198843</v>
      </c>
      <c r="O3" s="4" t="n">
        <v>0.901361681342834</v>
      </c>
      <c r="P3" s="4" t="n">
        <v>0.910176130210648</v>
      </c>
      <c r="Q3" s="4" t="n">
        <v>0.919056956633093</v>
      </c>
      <c r="R3" s="4" t="n">
        <v>0.928002688605778</v>
      </c>
      <c r="S3" s="4" t="n">
        <v>0.937011751376776</v>
      </c>
    </row>
    <row r="4" customFormat="false" ht="15" hidden="false" customHeight="false" outlineLevel="0" collapsed="false">
      <c r="A4" s="0" t="s">
        <v>109</v>
      </c>
      <c r="B4" s="4" t="n">
        <v>250000</v>
      </c>
      <c r="C4" s="4" t="n">
        <v>3035.20646370714</v>
      </c>
      <c r="D4" s="4" t="n">
        <v>0.940448344437678</v>
      </c>
      <c r="E4" s="4" t="n">
        <v>0.940448344437678</v>
      </c>
      <c r="F4" s="4" t="n">
        <v>0.98504285259603</v>
      </c>
      <c r="G4" s="4" t="n">
        <v>1.00978678425537</v>
      </c>
      <c r="H4" s="4" t="n">
        <v>32595.7792915759</v>
      </c>
      <c r="I4" s="4" t="n">
        <v>93277.2980803697</v>
      </c>
      <c r="J4" s="4" t="n">
        <v>1.86775300807755</v>
      </c>
      <c r="K4" s="4" t="n">
        <v>0.940448344437678</v>
      </c>
      <c r="L4" s="4" t="n">
        <v>0.968432935945745</v>
      </c>
      <c r="M4" s="4" t="n">
        <v>0.975510618305302</v>
      </c>
      <c r="N4" s="4" t="n">
        <v>0.98227534663623</v>
      </c>
      <c r="O4" s="4" t="n">
        <v>0.988685030733057</v>
      </c>
      <c r="P4" s="4" t="n">
        <v>0.994693660582234</v>
      </c>
      <c r="Q4" s="4" t="n">
        <v>1.00025095757818</v>
      </c>
      <c r="R4" s="4" t="n">
        <v>1.00530199489048</v>
      </c>
      <c r="S4" s="4" t="n">
        <v>1.00978678425537</v>
      </c>
    </row>
    <row r="5" customFormat="false" ht="15" hidden="false" customHeight="false" outlineLevel="0" collapsed="false">
      <c r="A5" s="0" t="s">
        <v>110</v>
      </c>
      <c r="B5" s="4" t="n">
        <v>250000</v>
      </c>
      <c r="C5" s="4" t="n">
        <v>2485.65784343246</v>
      </c>
      <c r="D5" s="4" t="n">
        <v>1.13577612141075</v>
      </c>
      <c r="E5" s="4" t="n">
        <v>1.13577612141075</v>
      </c>
      <c r="F5" s="4" t="n">
        <v>1.20787812112457</v>
      </c>
      <c r="G5" s="4" t="n">
        <v>1.26015731915948</v>
      </c>
      <c r="H5" s="4" t="n">
        <v>39737.4778</v>
      </c>
      <c r="I5" s="4" t="n">
        <v>97961.4760064849</v>
      </c>
      <c r="J5" s="4" t="n">
        <v>2.12960581682243</v>
      </c>
      <c r="K5" s="4" t="n">
        <v>1.13577612141075</v>
      </c>
      <c r="L5" s="4" t="n">
        <v>1.17340244418782</v>
      </c>
      <c r="M5" s="4" t="n">
        <v>1.18585262806213</v>
      </c>
      <c r="N5" s="4" t="n">
        <v>1.19830835134258</v>
      </c>
      <c r="O5" s="4" t="n">
        <v>1.21075618113489</v>
      </c>
      <c r="P5" s="4" t="n">
        <v>1.22318152082184</v>
      </c>
      <c r="Q5" s="4" t="n">
        <v>1.23556852369249</v>
      </c>
      <c r="R5" s="4" t="n">
        <v>1.24790000030919</v>
      </c>
      <c r="S5" s="4" t="n">
        <v>1.26015731915948</v>
      </c>
    </row>
    <row r="6" customFormat="false" ht="15" hidden="false" customHeight="false" outlineLevel="0" collapsed="false">
      <c r="A6" s="0" t="s">
        <v>111</v>
      </c>
      <c r="B6" s="4" t="n">
        <v>250000</v>
      </c>
      <c r="C6" s="4" t="n">
        <v>2338.50135448666</v>
      </c>
      <c r="D6" s="4" t="n">
        <v>1.23669240594029</v>
      </c>
      <c r="E6" s="4" t="n">
        <v>1.23669240594029</v>
      </c>
      <c r="F6" s="4" t="n">
        <v>1.31245133584937</v>
      </c>
      <c r="G6" s="4" t="n">
        <v>1.3659228997272</v>
      </c>
      <c r="H6" s="4" t="n">
        <v>36437.4778</v>
      </c>
      <c r="I6" s="4" t="n">
        <v>138157.12649131</v>
      </c>
      <c r="J6" s="4" t="n">
        <v>1.67477016</v>
      </c>
      <c r="K6" s="4" t="n">
        <v>1.23669240594029</v>
      </c>
      <c r="L6" s="4" t="n">
        <v>1.27672865980099</v>
      </c>
      <c r="M6" s="4" t="n">
        <v>1.28990870971549</v>
      </c>
      <c r="N6" s="4" t="n">
        <v>1.30298867371821</v>
      </c>
      <c r="O6" s="4" t="n">
        <v>1.31594324464169</v>
      </c>
      <c r="P6" s="4" t="n">
        <v>1.32874496997097</v>
      </c>
      <c r="Q6" s="4" t="n">
        <v>1.34136409070437</v>
      </c>
      <c r="R6" s="4" t="n">
        <v>1.35376836842511</v>
      </c>
      <c r="S6" s="4" t="n">
        <v>1.3659228997272</v>
      </c>
    </row>
    <row r="7" customFormat="false" ht="15" hidden="false" customHeight="false" outlineLevel="0" collapsed="false">
      <c r="A7" s="0" t="s">
        <v>112</v>
      </c>
      <c r="B7" s="4" t="n">
        <v>250000</v>
      </c>
      <c r="C7" s="4" t="n">
        <v>2338.50135448666</v>
      </c>
      <c r="D7" s="4" t="n">
        <v>1.0073179917223</v>
      </c>
      <c r="E7" s="4" t="n">
        <v>1.0073179917223</v>
      </c>
      <c r="F7" s="4" t="n">
        <v>1.03814431685088</v>
      </c>
      <c r="G7" s="4" t="n">
        <v>1.0643940972501</v>
      </c>
      <c r="H7" s="4" t="n">
        <v>29549.6039</v>
      </c>
      <c r="I7" s="4" t="n">
        <v>138157.12649131</v>
      </c>
      <c r="J7" s="4" t="n">
        <v>1.28117736571429</v>
      </c>
      <c r="K7" s="4" t="n">
        <v>1.0073179917223</v>
      </c>
      <c r="L7" s="4" t="n">
        <v>1.01747078774397</v>
      </c>
      <c r="M7" s="4" t="n">
        <v>1.02500711595283</v>
      </c>
      <c r="N7" s="4" t="n">
        <v>1.03231672688785</v>
      </c>
      <c r="O7" s="4" t="n">
        <v>1.03937136804651</v>
      </c>
      <c r="P7" s="4" t="n">
        <v>1.04614057029082</v>
      </c>
      <c r="Q7" s="4" t="n">
        <v>1.05259148491096</v>
      </c>
      <c r="R7" s="4" t="n">
        <v>1.0586887088526</v>
      </c>
      <c r="S7" s="4" t="n">
        <v>1.0643940972501</v>
      </c>
    </row>
    <row r="8" customFormat="false" ht="15" hidden="false" customHeight="false" outlineLevel="0" collapsed="false">
      <c r="A8" s="0" t="s">
        <v>113</v>
      </c>
      <c r="B8" s="4" t="n">
        <v>250000</v>
      </c>
      <c r="C8" s="4" t="n">
        <v>2549.79633781845</v>
      </c>
      <c r="D8" s="4" t="n">
        <v>1.15854384275926</v>
      </c>
      <c r="E8" s="4" t="n">
        <v>1.15854384275926</v>
      </c>
      <c r="F8" s="4" t="n">
        <v>1.22475457139906</v>
      </c>
      <c r="G8" s="4" t="n">
        <v>1.26880558856876</v>
      </c>
      <c r="H8" s="4" t="n">
        <v>33437.4778</v>
      </c>
      <c r="I8" s="4" t="n">
        <v>170908.093412315</v>
      </c>
      <c r="J8" s="4" t="n">
        <v>1.41451660235294</v>
      </c>
      <c r="K8" s="4" t="n">
        <v>1.15854384275926</v>
      </c>
      <c r="L8" s="4" t="n">
        <v>1.19480032098096</v>
      </c>
      <c r="M8" s="4" t="n">
        <v>1.20630227105639</v>
      </c>
      <c r="N8" s="4" t="n">
        <v>1.21757165696192</v>
      </c>
      <c r="O8" s="4" t="n">
        <v>1.22856639306385</v>
      </c>
      <c r="P8" s="4" t="n">
        <v>1.23924029271305</v>
      </c>
      <c r="Q8" s="4" t="n">
        <v>1.2495426982657</v>
      </c>
      <c r="R8" s="4" t="n">
        <v>1.25941807822167</v>
      </c>
      <c r="S8" s="4" t="n">
        <v>1.26880558856876</v>
      </c>
    </row>
    <row r="9" customFormat="false" ht="15" hidden="false" customHeight="false" outlineLevel="0" collapsed="false">
      <c r="A9" s="0" t="s">
        <v>114</v>
      </c>
      <c r="B9" s="4" t="n">
        <v>305000</v>
      </c>
      <c r="C9" s="4" t="n">
        <v>3073.70638589242</v>
      </c>
      <c r="D9" s="4" t="n">
        <v>0.927747197874385</v>
      </c>
      <c r="E9" s="4" t="n">
        <v>0.927747197874385</v>
      </c>
      <c r="F9" s="4" t="n">
        <v>0.981918636137919</v>
      </c>
      <c r="G9" s="4" t="n">
        <v>1.01973449880731</v>
      </c>
      <c r="H9" s="4" t="n">
        <v>31089.088561018</v>
      </c>
      <c r="I9" s="4" t="n">
        <v>108258.218592161</v>
      </c>
      <c r="J9" s="4" t="n">
        <v>1.90212549381698</v>
      </c>
      <c r="K9" s="4" t="n">
        <v>0.927747197874385</v>
      </c>
      <c r="L9" s="4" t="n">
        <v>0.957218338399617</v>
      </c>
      <c r="M9" s="4" t="n">
        <v>0.966298373523007</v>
      </c>
      <c r="N9" s="4" t="n">
        <v>0.975350287971057</v>
      </c>
      <c r="O9" s="4" t="n">
        <v>0.984362143338596</v>
      </c>
      <c r="P9" s="4" t="n">
        <v>0.99332102465907</v>
      </c>
      <c r="Q9" s="4" t="n">
        <v>1.00221296938751</v>
      </c>
      <c r="R9" s="4" t="n">
        <v>1.01102289128072</v>
      </c>
      <c r="S9" s="4" t="n">
        <v>1.01973449880731</v>
      </c>
    </row>
    <row r="10" customFormat="false" ht="15" hidden="false" customHeight="false" outlineLevel="0" collapsed="false">
      <c r="A10" s="0" t="s">
        <v>115</v>
      </c>
      <c r="B10" s="4" t="n">
        <v>205000</v>
      </c>
      <c r="C10" s="4" t="n">
        <v>2191.81729462351</v>
      </c>
      <c r="D10" s="4" t="n">
        <v>1.23743017847021</v>
      </c>
      <c r="E10" s="4" t="n">
        <v>1.23743017847021</v>
      </c>
      <c r="F10" s="4" t="n">
        <v>1.32513961810102</v>
      </c>
      <c r="G10" s="4" t="n">
        <v>1.39239466328141</v>
      </c>
      <c r="H10" s="4" t="n">
        <v>45107.4778</v>
      </c>
      <c r="I10" s="4" t="n">
        <v>38378.7678193368</v>
      </c>
      <c r="J10" s="4" t="n">
        <v>4.07369272795497</v>
      </c>
      <c r="K10" s="4" t="n">
        <v>1.23743017847021</v>
      </c>
      <c r="L10" s="4" t="n">
        <v>1.28114115499366</v>
      </c>
      <c r="M10" s="4" t="n">
        <v>1.29646709828601</v>
      </c>
      <c r="N10" s="4" t="n">
        <v>1.31198063083642</v>
      </c>
      <c r="O10" s="4" t="n">
        <v>1.32768272910804</v>
      </c>
      <c r="P10" s="4" t="n">
        <v>1.34357432404606</v>
      </c>
      <c r="Q10" s="4" t="n">
        <v>1.35965629861838</v>
      </c>
      <c r="R10" s="4" t="n">
        <v>1.37592948526901</v>
      </c>
      <c r="S10" s="4" t="n">
        <v>1.39239466328141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2026-10-15T21:29:20Z</dcterms:created>
  <dc:creator>openpyxl</dc:creator>
  <dc:description/>
  <dc:language>en-US</dc:language>
  <cp:lastModifiedBy/>
  <dcterms:modified xsi:type="dcterms:W3CDTF">2026-10-15T21:29:20Z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