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ex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PnL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CashFlow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Vs_reference_stud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color rgb="000000CC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Petra Trauma Centre - inputs (blue = editable). JOD. Tags: see report.</t>
        </is>
      </c>
    </row>
    <row r="3">
      <c r="A3" t="inlineStr">
        <is>
          <t>ward_beds</t>
        </is>
      </c>
      <c r="B3" s="2" t="n">
        <v>17</v>
      </c>
    </row>
    <row r="4">
      <c r="A4" t="inlineStr">
        <is>
          <t>icu_beds</t>
        </is>
      </c>
      <c r="B4" s="2" t="n">
        <v>3</v>
      </c>
    </row>
    <row r="5">
      <c r="A5" t="inlineStr">
        <is>
          <t>p_ward_day</t>
        </is>
      </c>
      <c r="B5" s="2" t="n">
        <v>120</v>
      </c>
    </row>
    <row r="6">
      <c r="A6" t="inlineStr">
        <is>
          <t>p_icu_day</t>
        </is>
      </c>
      <c r="B6" s="2" t="n">
        <v>420</v>
      </c>
    </row>
    <row r="7">
      <c r="A7" t="inlineStr">
        <is>
          <t>p_surgery</t>
        </is>
      </c>
      <c r="B7" s="2" t="n">
        <v>750</v>
      </c>
    </row>
    <row r="8">
      <c r="A8" t="inlineStr">
        <is>
          <t>p_implant</t>
        </is>
      </c>
      <c r="B8" s="2" t="n">
        <v>220</v>
      </c>
    </row>
    <row r="9">
      <c r="A9" t="inlineStr">
        <is>
          <t>p_day_surgery</t>
        </is>
      </c>
      <c r="B9" s="2" t="n">
        <v>350</v>
      </c>
    </row>
    <row r="10">
      <c r="A10" t="inlineStr">
        <is>
          <t>p_day_implant</t>
        </is>
      </c>
      <c r="B10" s="2" t="n">
        <v>30</v>
      </c>
    </row>
    <row r="11">
      <c r="A11" t="inlineStr">
        <is>
          <t>p_endoscopy</t>
        </is>
      </c>
      <c r="B11" s="2" t="n">
        <v>120</v>
      </c>
    </row>
    <row r="12">
      <c r="A12" t="inlineStr">
        <is>
          <t>p_er</t>
        </is>
      </c>
      <c r="B12" s="2" t="n">
        <v>45</v>
      </c>
    </row>
    <row r="13">
      <c r="A13" t="inlineStr">
        <is>
          <t>p_ct</t>
        </is>
      </c>
      <c r="B13" s="2" t="n">
        <v>85</v>
      </c>
    </row>
    <row r="14">
      <c r="A14" t="inlineStr">
        <is>
          <t>p_opd</t>
        </is>
      </c>
      <c r="B14" s="2" t="n">
        <v>30</v>
      </c>
    </row>
    <row r="15">
      <c r="A15" t="inlineStr">
        <is>
          <t>p_physio</t>
        </is>
      </c>
      <c r="B15" s="2" t="n">
        <v>15</v>
      </c>
    </row>
    <row r="16">
      <c r="A16" t="inlineStr">
        <is>
          <t>p_tourist</t>
        </is>
      </c>
      <c r="B16" s="2" t="n">
        <v>220</v>
      </c>
    </row>
    <row r="17">
      <c r="A17" t="inlineStr">
        <is>
          <t>pharmacy_pct</t>
        </is>
      </c>
      <c r="B17" s="2" t="n">
        <v>0.06</v>
      </c>
    </row>
    <row r="18">
      <c r="A18" t="inlineStr">
        <is>
          <t>price_growth</t>
        </is>
      </c>
      <c r="B18" s="2" t="n">
        <v>0.015</v>
      </c>
    </row>
    <row r="19">
      <c r="A19" t="inlineStr">
        <is>
          <t>discount_pct</t>
        </is>
      </c>
      <c r="B19" s="2" t="n">
        <v>0.05</v>
      </c>
    </row>
    <row r="20">
      <c r="A20" t="inlineStr">
        <is>
          <t>bad_debt_pct</t>
        </is>
      </c>
      <c r="B20" s="2" t="n">
        <v>0.02</v>
      </c>
    </row>
    <row r="21">
      <c r="A21" t="inlineStr">
        <is>
          <t>volume_factor</t>
        </is>
      </c>
      <c r="B21" s="2" t="n">
        <v>1</v>
      </c>
    </row>
    <row r="22">
      <c r="A22" t="inlineStr">
        <is>
          <t>price_factor</t>
        </is>
      </c>
      <c r="B22" s="2" t="n">
        <v>1</v>
      </c>
    </row>
    <row r="23">
      <c r="A23" t="inlineStr">
        <is>
          <t>oncost_pct</t>
        </is>
      </c>
      <c r="B23" s="2" t="n">
        <v>0.18</v>
      </c>
    </row>
    <row r="24">
      <c r="A24" t="inlineStr">
        <is>
          <t>wage_growth</t>
        </is>
      </c>
      <c r="B24" s="2" t="n">
        <v>0.03</v>
      </c>
    </row>
    <row r="25">
      <c r="A25" t="inlineStr">
        <is>
          <t>consumables_pct</t>
        </is>
      </c>
      <c r="B25" s="2" t="n">
        <v>0.19</v>
      </c>
    </row>
    <row r="26">
      <c r="A26" t="inlineStr">
        <is>
          <t>implant_cost_pct</t>
        </is>
      </c>
      <c r="B26" s="2" t="n">
        <v>0.75</v>
      </c>
    </row>
    <row r="27">
      <c r="A27" t="inlineStr">
        <is>
          <t>doctor_incentive_pct</t>
        </is>
      </c>
      <c r="B27" s="2" t="n">
        <v>0.05</v>
      </c>
    </row>
    <row r="28">
      <c r="A28" t="inlineStr">
        <is>
          <t>radiology_read_fee</t>
        </is>
      </c>
      <c r="B28" s="2" t="n">
        <v>12</v>
      </c>
    </row>
    <row r="29">
      <c r="A29" t="inlineStr">
        <is>
          <t>utilities</t>
        </is>
      </c>
      <c r="B29" s="2" t="n">
        <v>140000</v>
      </c>
    </row>
    <row r="30">
      <c r="A30" t="inlineStr">
        <is>
          <t>outsourced</t>
        </is>
      </c>
      <c r="B30" s="2" t="n">
        <v>200000</v>
      </c>
    </row>
    <row r="31">
      <c r="A31" t="inlineStr">
        <is>
          <t>insurance_malpractice</t>
        </is>
      </c>
      <c r="B31" s="2" t="n">
        <v>45000</v>
      </c>
    </row>
    <row r="32">
      <c r="A32" t="inlineStr">
        <is>
          <t>it_licences</t>
        </is>
      </c>
      <c r="B32" s="2" t="n">
        <v>50000</v>
      </c>
    </row>
    <row r="33">
      <c r="A33" t="inlineStr">
        <is>
          <t>general_admin</t>
        </is>
      </c>
      <c r="B33" s="2" t="n">
        <v>80000</v>
      </c>
    </row>
    <row r="34">
      <c r="A34" t="inlineStr">
        <is>
          <t>ground_rent</t>
        </is>
      </c>
      <c r="B34" s="2" t="n">
        <v>18000</v>
      </c>
    </row>
    <row r="35">
      <c r="A35" t="inlineStr">
        <is>
          <t>licence_fees</t>
        </is>
      </c>
      <c r="B35" s="2" t="n">
        <v>16000</v>
      </c>
    </row>
    <row r="36">
      <c r="A36" t="inlineStr">
        <is>
          <t>maint_building_pct</t>
        </is>
      </c>
      <c r="B36" s="2" t="n">
        <v>0.01</v>
      </c>
    </row>
    <row r="37">
      <c r="A37" t="inlineStr">
        <is>
          <t>cost_growth</t>
        </is>
      </c>
      <c r="B37" s="2" t="n">
        <v>0.025</v>
      </c>
    </row>
    <row r="38">
      <c r="A38" t="inlineStr">
        <is>
          <t>maint_capex_pct</t>
        </is>
      </c>
      <c r="B38" s="2" t="n">
        <v>0.015</v>
      </c>
    </row>
    <row r="39">
      <c r="A39" t="inlineStr">
        <is>
          <t>dso_days</t>
        </is>
      </c>
      <c r="B39" s="2" t="n">
        <v>105</v>
      </c>
    </row>
    <row r="40">
      <c r="A40" t="inlineStr">
        <is>
          <t>inventory_days</t>
        </is>
      </c>
      <c r="B40" s="2" t="n">
        <v>45</v>
      </c>
    </row>
    <row r="41">
      <c r="A41" t="inlineStr">
        <is>
          <t>payables_days</t>
        </is>
      </c>
      <c r="B41" s="2" t="n">
        <v>60</v>
      </c>
    </row>
    <row r="42">
      <c r="A42" t="inlineStr">
        <is>
          <t>tax_rate</t>
        </is>
      </c>
      <c r="B42" s="2" t="n">
        <v>0.21</v>
      </c>
    </row>
    <row r="43">
      <c r="A43" t="inlineStr">
        <is>
          <t>tax_relief_pct</t>
        </is>
      </c>
      <c r="B43" s="2" t="n">
        <v>0.75</v>
      </c>
    </row>
    <row r="44">
      <c r="A44" t="inlineStr">
        <is>
          <t>tax_relief_years</t>
        </is>
      </c>
      <c r="B44" s="2" t="n">
        <v>5</v>
      </c>
    </row>
    <row r="45">
      <c r="A45" t="inlineStr">
        <is>
          <t>discount_rate</t>
        </is>
      </c>
      <c r="B45" s="2" t="n">
        <v>0.1</v>
      </c>
    </row>
    <row r="46">
      <c r="A46" t="inlineStr">
        <is>
          <t>terminal_growth</t>
        </is>
      </c>
      <c r="B46" s="2" t="n">
        <v>0.02</v>
      </c>
    </row>
    <row r="47">
      <c r="A47" t="inlineStr">
        <is>
          <t>t1_amount</t>
        </is>
      </c>
      <c r="B47" s="2" t="n">
        <v>2500000</v>
      </c>
    </row>
    <row r="48">
      <c r="A48" t="inlineStr">
        <is>
          <t>t1_rate</t>
        </is>
      </c>
      <c r="B48" s="2" t="n">
        <v>0.0375</v>
      </c>
    </row>
    <row r="49">
      <c r="A49" t="inlineStr">
        <is>
          <t>t1_grace</t>
        </is>
      </c>
      <c r="B49" s="2" t="n">
        <v>2</v>
      </c>
    </row>
    <row r="50">
      <c r="A50" t="inlineStr">
        <is>
          <t>t1_repay</t>
        </is>
      </c>
      <c r="B50" s="2" t="n">
        <v>8</v>
      </c>
    </row>
    <row r="51">
      <c r="A51" t="inlineStr">
        <is>
          <t>t2_amount</t>
        </is>
      </c>
      <c r="B51" s="2" t="n">
        <v>0</v>
      </c>
    </row>
    <row r="52">
      <c r="A52" t="inlineStr">
        <is>
          <t>t2_rate</t>
        </is>
      </c>
      <c r="B52" s="2" t="n">
        <v>0.075</v>
      </c>
    </row>
    <row r="53">
      <c r="A53" t="inlineStr">
        <is>
          <t>t2_grace</t>
        </is>
      </c>
      <c r="B53" s="2" t="n">
        <v>2</v>
      </c>
    </row>
    <row r="54">
      <c r="A54" t="inlineStr">
        <is>
          <t>t2_repay</t>
        </is>
      </c>
      <c r="B54" s="2" t="n">
        <v>8</v>
      </c>
    </row>
    <row r="55">
      <c r="A55" t="inlineStr">
        <is>
          <t>t3_amount</t>
        </is>
      </c>
      <c r="B55" s="2" t="n">
        <v>500000</v>
      </c>
    </row>
    <row r="56">
      <c r="A56" t="inlineStr">
        <is>
          <t>t3_rate</t>
        </is>
      </c>
      <c r="B56" s="2" t="n">
        <v>0.07000000000000001</v>
      </c>
    </row>
    <row r="57">
      <c r="A57" t="inlineStr">
        <is>
          <t>t3_repay</t>
        </is>
      </c>
      <c r="B57" s="2" t="n">
        <v>5</v>
      </c>
    </row>
    <row r="58">
      <c r="A58" t="inlineStr">
        <is>
          <t>cash_reserve</t>
        </is>
      </c>
      <c r="B58" s="2" t="n">
        <v>700000</v>
      </c>
    </row>
    <row r="59">
      <c r="A59" t="inlineStr">
        <is>
          <t>arrangement_fee_pct</t>
        </is>
      </c>
      <c r="B59" s="2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Capital cost (values from model; edit in ptc_model.py or here)</t>
        </is>
      </c>
    </row>
    <row r="3">
      <c r="A3" t="inlineStr">
        <is>
          <t>Land (purchase + registration fees)</t>
        </is>
      </c>
      <c r="B3" s="3" t="n">
        <v>0</v>
      </c>
    </row>
    <row r="4">
      <c r="A4" t="inlineStr">
        <is>
          <t>Building (GFA x cost/m2, incl. expansion provision)</t>
        </is>
      </c>
      <c r="B4" s="3" t="n">
        <v>1680000</v>
      </c>
    </row>
    <row r="5">
      <c r="A5" t="inlineStr">
        <is>
          <t>Design and supervision</t>
        </is>
      </c>
      <c r="B5" s="3" t="n">
        <v>100800</v>
      </c>
    </row>
    <row r="6">
      <c r="A6" t="inlineStr">
        <is>
          <t>Specialised MEP systems</t>
        </is>
      </c>
      <c r="B6" s="3" t="n">
        <v>330000</v>
      </c>
    </row>
    <row r="7">
      <c r="A7" t="inlineStr">
        <is>
          <t>Medical equipment</t>
        </is>
      </c>
      <c r="B7" s="3" t="n">
        <v>1300000</v>
      </c>
    </row>
    <row r="8">
      <c r="A8" t="inlineStr">
        <is>
          <t>Furniture and IT (HIS/EMR/PACS)</t>
        </is>
      </c>
      <c r="B8" s="3" t="n">
        <v>160000</v>
      </c>
    </row>
    <row r="9">
      <c r="A9" t="inlineStr">
        <is>
          <t>Ambulances</t>
        </is>
      </c>
      <c r="B9" s="3" t="n">
        <v>70000</v>
      </c>
    </row>
    <row r="10">
      <c r="A10" t="inlineStr">
        <is>
          <t>Contingency</t>
        </is>
      </c>
      <c r="B10" s="3" t="n">
        <v>331000</v>
      </c>
    </row>
    <row r="11">
      <c r="A11" t="inlineStr">
        <is>
          <t>Pre-opening costs</t>
        </is>
      </c>
      <c r="B11" s="3" t="n">
        <v>280000</v>
      </c>
    </row>
    <row r="12">
      <c r="A12" s="1" t="inlineStr">
        <is>
          <t>Fixed capex total</t>
        </is>
      </c>
      <c r="B12" s="3">
        <f>SUM(B3:B11)</f>
        <v/>
      </c>
    </row>
    <row r="13">
      <c r="A13" t="inlineStr">
        <is>
          <t>Interest during construction</t>
        </is>
      </c>
      <c r="B13" s="3">
        <f>Debt!B6+Debt!B14</f>
        <v/>
      </c>
    </row>
    <row r="14">
      <c r="A14" t="inlineStr">
        <is>
          <t>Arrangement fees</t>
        </is>
      </c>
      <c r="B14" s="3">
        <f>(Inputs!$B$47+Inputs!$B$51)*Inputs!$B$59</f>
        <v/>
      </c>
    </row>
    <row r="15">
      <c r="A15" t="inlineStr">
        <is>
          <t>Cash reserve</t>
        </is>
      </c>
      <c r="B15" s="3">
        <f>Inputs!$B$58</f>
        <v/>
      </c>
    </row>
    <row r="16">
      <c r="A16" s="1" t="inlineStr">
        <is>
          <t>TOTAL USES</t>
        </is>
      </c>
      <c r="B16" s="3">
        <f>SUM(B12:B15)</f>
        <v/>
      </c>
    </row>
    <row r="17">
      <c r="A17" t="inlineStr">
        <is>
          <t>Debt (T1+T2+T3)</t>
        </is>
      </c>
      <c r="B17" s="3">
        <f>Inputs!$B$47+Inputs!$B$51+Inputs!$B$55</f>
        <v/>
      </c>
    </row>
    <row r="18">
      <c r="A18" s="1" t="inlineStr">
        <is>
          <t>Owner equity</t>
        </is>
      </c>
      <c r="B18" s="3">
        <f>B16-B17</f>
        <v/>
      </c>
    </row>
    <row r="19">
      <c r="A19" t="inlineStr">
        <is>
          <t>Equity share</t>
        </is>
      </c>
      <c r="B19" s="4">
        <f>B18/B16</f>
        <v/>
      </c>
    </row>
    <row r="21">
      <c r="A21" t="inlineStr">
        <is>
          <t>Depreciable classes</t>
        </is>
      </c>
      <c r="C21" t="inlineStr">
        <is>
          <t>Life (years)</t>
        </is>
      </c>
    </row>
    <row r="22">
      <c r="A22" t="inlineStr">
        <is>
          <t>building</t>
        </is>
      </c>
      <c r="B22" s="3" t="n">
        <v>1948800</v>
      </c>
      <c r="C22" t="n">
        <v>33</v>
      </c>
    </row>
    <row r="23">
      <c r="A23" t="inlineStr">
        <is>
          <t>mep</t>
        </is>
      </c>
      <c r="B23" s="3" t="n">
        <v>363000</v>
      </c>
      <c r="C23" t="n">
        <v>10</v>
      </c>
    </row>
    <row r="24">
      <c r="A24" t="inlineStr">
        <is>
          <t>equipment</t>
        </is>
      </c>
      <c r="B24" s="3" t="n">
        <v>1430000</v>
      </c>
      <c r="C24" t="n">
        <v>8</v>
      </c>
    </row>
    <row r="25">
      <c r="A25" t="inlineStr">
        <is>
          <t>furniture_it</t>
        </is>
      </c>
      <c r="B25" s="3" t="n">
        <v>160000</v>
      </c>
      <c r="C25" t="n">
        <v>5</v>
      </c>
    </row>
    <row r="26">
      <c r="A26" t="inlineStr">
        <is>
          <t>vehicles</t>
        </is>
      </c>
      <c r="B26" s="3" t="n">
        <v>70000</v>
      </c>
      <c r="C26" t="n">
        <v>7</v>
      </c>
    </row>
    <row r="27">
      <c r="A27" t="inlineStr">
        <is>
          <t>pre_opening</t>
        </is>
      </c>
      <c r="B27" s="3" t="n">
        <v>280000</v>
      </c>
      <c r="C2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Annual drivers (blue = editable)</t>
        </is>
      </c>
    </row>
    <row r="2">
      <c r="A2" t="inlineStr">
        <is>
          <t>Year</t>
        </is>
      </c>
      <c r="B2" s="1" t="n">
        <v>2029</v>
      </c>
      <c r="C2" s="1" t="n">
        <v>2030</v>
      </c>
      <c r="D2" s="1" t="n">
        <v>2031</v>
      </c>
      <c r="E2" s="1" t="n">
        <v>2032</v>
      </c>
      <c r="F2" s="1" t="n">
        <v>2033</v>
      </c>
      <c r="G2" s="1" t="n">
        <v>2034</v>
      </c>
      <c r="H2" s="1" t="n">
        <v>2035</v>
      </c>
      <c r="I2" s="1" t="n">
        <v>2036</v>
      </c>
      <c r="J2" s="1" t="n">
        <v>2037</v>
      </c>
      <c r="K2" s="1" t="n">
        <v>2038</v>
      </c>
    </row>
    <row r="3">
      <c r="A3" t="inlineStr">
        <is>
          <t>ward_occ</t>
        </is>
      </c>
      <c r="B3" s="2" t="n">
        <v>0.38</v>
      </c>
      <c r="C3" s="2" t="n">
        <v>0.5</v>
      </c>
      <c r="D3" s="2" t="n">
        <v>0.6</v>
      </c>
      <c r="E3" s="2" t="n">
        <v>0.66</v>
      </c>
      <c r="F3" s="2" t="n">
        <v>0.7</v>
      </c>
      <c r="G3" s="2" t="n">
        <v>0.72</v>
      </c>
      <c r="H3" s="2" t="n">
        <v>0.72</v>
      </c>
      <c r="I3" s="2" t="n">
        <v>0.72</v>
      </c>
      <c r="J3" s="2" t="n">
        <v>0.72</v>
      </c>
      <c r="K3" s="2" t="n">
        <v>0.72</v>
      </c>
    </row>
    <row r="4">
      <c r="A4" t="inlineStr">
        <is>
          <t>icu_occ</t>
        </is>
      </c>
      <c r="B4" s="2" t="n">
        <v>0.3</v>
      </c>
      <c r="C4" s="2" t="n">
        <v>0.42</v>
      </c>
      <c r="D4" s="2" t="n">
        <v>0.52</v>
      </c>
      <c r="E4" s="2" t="n">
        <v>0.6</v>
      </c>
      <c r="F4" s="2" t="n">
        <v>0.62</v>
      </c>
      <c r="G4" s="2" t="n">
        <v>0.65</v>
      </c>
      <c r="H4" s="2" t="n">
        <v>0.65</v>
      </c>
      <c r="I4" s="2" t="n">
        <v>0.65</v>
      </c>
      <c r="J4" s="2" t="n">
        <v>0.65</v>
      </c>
      <c r="K4" s="2" t="n">
        <v>0.65</v>
      </c>
    </row>
    <row r="5">
      <c r="A5" t="inlineStr">
        <is>
          <t>surgeries</t>
        </is>
      </c>
      <c r="B5" s="2" t="n">
        <v>500</v>
      </c>
      <c r="C5" s="2" t="n">
        <v>700</v>
      </c>
      <c r="D5" s="2" t="n">
        <v>850</v>
      </c>
      <c r="E5" s="2" t="n">
        <v>950</v>
      </c>
      <c r="F5" s="2" t="n">
        <v>1000</v>
      </c>
      <c r="G5" s="2" t="n">
        <v>1050</v>
      </c>
      <c r="H5" s="2" t="n">
        <v>1050</v>
      </c>
      <c r="I5" s="2" t="n">
        <v>1080</v>
      </c>
      <c r="J5" s="2" t="n">
        <v>1080</v>
      </c>
      <c r="K5" s="2" t="n">
        <v>1080</v>
      </c>
    </row>
    <row r="6">
      <c r="A6" t="inlineStr">
        <is>
          <t>day_surgeries</t>
        </is>
      </c>
      <c r="B6" s="2" t="n">
        <v>600</v>
      </c>
      <c r="C6" s="2" t="n">
        <v>1000</v>
      </c>
      <c r="D6" s="2" t="n">
        <v>1400</v>
      </c>
      <c r="E6" s="2" t="n">
        <v>1700</v>
      </c>
      <c r="F6" s="2" t="n">
        <v>1900</v>
      </c>
      <c r="G6" s="2" t="n">
        <v>2000</v>
      </c>
      <c r="H6" s="2" t="n">
        <v>2050</v>
      </c>
      <c r="I6" s="2" t="n">
        <v>2100</v>
      </c>
      <c r="J6" s="2" t="n">
        <v>2100</v>
      </c>
      <c r="K6" s="2" t="n">
        <v>2100</v>
      </c>
    </row>
    <row r="7">
      <c r="A7" t="inlineStr">
        <is>
          <t>endoscopies</t>
        </is>
      </c>
      <c r="B7" s="2" t="n">
        <v>300</v>
      </c>
      <c r="C7" s="2" t="n">
        <v>500</v>
      </c>
      <c r="D7" s="2" t="n">
        <v>700</v>
      </c>
      <c r="E7" s="2" t="n">
        <v>800</v>
      </c>
      <c r="F7" s="2" t="n">
        <v>900</v>
      </c>
      <c r="G7" s="2" t="n">
        <v>950</v>
      </c>
      <c r="H7" s="2" t="n">
        <v>1000</v>
      </c>
      <c r="I7" s="2" t="n">
        <v>1000</v>
      </c>
      <c r="J7" s="2" t="n">
        <v>1000</v>
      </c>
      <c r="K7" s="2" t="n">
        <v>1000</v>
      </c>
    </row>
    <row r="8">
      <c r="A8" t="inlineStr">
        <is>
          <t>er_per_day</t>
        </is>
      </c>
      <c r="B8" s="2" t="n">
        <v>25</v>
      </c>
      <c r="C8" s="2" t="n">
        <v>32</v>
      </c>
      <c r="D8" s="2" t="n">
        <v>38</v>
      </c>
      <c r="E8" s="2" t="n">
        <v>42</v>
      </c>
      <c r="F8" s="2" t="n">
        <v>45</v>
      </c>
      <c r="G8" s="2" t="n">
        <v>46</v>
      </c>
      <c r="H8" s="2" t="n">
        <v>48</v>
      </c>
      <c r="I8" s="2" t="n">
        <v>50</v>
      </c>
      <c r="J8" s="2" t="n">
        <v>50</v>
      </c>
      <c r="K8" s="2" t="n">
        <v>50</v>
      </c>
    </row>
    <row r="9">
      <c r="A9" t="inlineStr">
        <is>
          <t>ct_scans</t>
        </is>
      </c>
      <c r="B9" s="2" t="n">
        <v>2000</v>
      </c>
      <c r="C9" s="2" t="n">
        <v>2700</v>
      </c>
      <c r="D9" s="2" t="n">
        <v>3300</v>
      </c>
      <c r="E9" s="2" t="n">
        <v>3800</v>
      </c>
      <c r="F9" s="2" t="n">
        <v>4100</v>
      </c>
      <c r="G9" s="2" t="n">
        <v>4200</v>
      </c>
      <c r="H9" s="2" t="n">
        <v>4300</v>
      </c>
      <c r="I9" s="2" t="n">
        <v>4400</v>
      </c>
      <c r="J9" s="2" t="n">
        <v>4400</v>
      </c>
      <c r="K9" s="2" t="n">
        <v>4400</v>
      </c>
    </row>
    <row r="10">
      <c r="A10" t="inlineStr">
        <is>
          <t>opd_visits</t>
        </is>
      </c>
      <c r="B10" s="2" t="n">
        <v>7000</v>
      </c>
      <c r="C10" s="2" t="n">
        <v>11000</v>
      </c>
      <c r="D10" s="2" t="n">
        <v>14000</v>
      </c>
      <c r="E10" s="2" t="n">
        <v>16000</v>
      </c>
      <c r="F10" s="2" t="n">
        <v>17500</v>
      </c>
      <c r="G10" s="2" t="n">
        <v>18000</v>
      </c>
      <c r="H10" s="2" t="n">
        <v>18500</v>
      </c>
      <c r="I10" s="2" t="n">
        <v>19000</v>
      </c>
      <c r="J10" s="2" t="n">
        <v>19000</v>
      </c>
      <c r="K10" s="2" t="n">
        <v>19000</v>
      </c>
    </row>
    <row r="11">
      <c r="A11" t="inlineStr">
        <is>
          <t>physio</t>
        </is>
      </c>
      <c r="B11" s="2" t="n">
        <v>2500</v>
      </c>
      <c r="C11" s="2" t="n">
        <v>4000</v>
      </c>
      <c r="D11" s="2" t="n">
        <v>5000</v>
      </c>
      <c r="E11" s="2" t="n">
        <v>6000</v>
      </c>
      <c r="F11" s="2" t="n">
        <v>6500</v>
      </c>
      <c r="G11" s="2" t="n">
        <v>7000</v>
      </c>
      <c r="H11" s="2" t="n">
        <v>7000</v>
      </c>
      <c r="I11" s="2" t="n">
        <v>7000</v>
      </c>
      <c r="J11" s="2" t="n">
        <v>7000</v>
      </c>
      <c r="K11" s="2" t="n">
        <v>7000</v>
      </c>
    </row>
    <row r="12">
      <c r="A12" t="inlineStr">
        <is>
          <t>tourist_cases</t>
        </is>
      </c>
      <c r="B12" s="2" t="n">
        <v>400</v>
      </c>
      <c r="C12" s="2" t="n">
        <v>500</v>
      </c>
      <c r="D12" s="2" t="n">
        <v>600</v>
      </c>
      <c r="E12" s="2" t="n">
        <v>600</v>
      </c>
      <c r="F12" s="2" t="n">
        <v>650</v>
      </c>
      <c r="G12" s="2" t="n">
        <v>650</v>
      </c>
      <c r="H12" s="2" t="n">
        <v>700</v>
      </c>
      <c r="I12" s="2" t="n">
        <v>700</v>
      </c>
      <c r="J12" s="2" t="n">
        <v>700</v>
      </c>
      <c r="K12" s="2" t="n">
        <v>700</v>
      </c>
    </row>
    <row r="13">
      <c r="A13" t="inlineStr">
        <is>
          <t>staffing_factor</t>
        </is>
      </c>
      <c r="B13" s="2" t="n">
        <v>0.75</v>
      </c>
      <c r="C13" s="2" t="n">
        <v>0.85</v>
      </c>
      <c r="D13" s="2" t="n">
        <v>0.95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1</v>
      </c>
    </row>
    <row r="14">
      <c r="A14" t="inlineStr">
        <is>
          <t>marketing_contracts</t>
        </is>
      </c>
      <c r="B14" s="2" t="n">
        <v>80000</v>
      </c>
      <c r="C14" s="2" t="n">
        <v>50000</v>
      </c>
      <c r="D14" s="2" t="n">
        <v>50000</v>
      </c>
      <c r="E14" s="2" t="n">
        <v>50000</v>
      </c>
      <c r="F14" s="2" t="n">
        <v>50000</v>
      </c>
      <c r="G14" s="2" t="n">
        <v>50000</v>
      </c>
      <c r="H14" s="2" t="n">
        <v>50000</v>
      </c>
      <c r="I14" s="2" t="n">
        <v>50000</v>
      </c>
      <c r="J14" s="2" t="n">
        <v>50000</v>
      </c>
      <c r="K14" s="2" t="n">
        <v>50000</v>
      </c>
    </row>
    <row r="15">
      <c r="A15" t="inlineStr">
        <is>
          <t>maint_equip_pct</t>
        </is>
      </c>
      <c r="B15" s="2" t="n">
        <v>0.02</v>
      </c>
      <c r="C15" s="2" t="n">
        <v>0.02</v>
      </c>
      <c r="D15" s="2" t="n">
        <v>0.06</v>
      </c>
      <c r="E15" s="2" t="n">
        <v>0.06</v>
      </c>
      <c r="F15" s="2" t="n">
        <v>0.06</v>
      </c>
      <c r="G15" s="2" t="n">
        <v>0.06</v>
      </c>
      <c r="H15" s="2" t="n">
        <v>0.06</v>
      </c>
      <c r="I15" s="2" t="n">
        <v>0.06</v>
      </c>
      <c r="J15" s="2" t="n">
        <v>0.06</v>
      </c>
      <c r="K15" s="2" t="n">
        <v>0.06</v>
      </c>
    </row>
    <row r="16">
      <c r="A16" t="inlineStr">
        <is>
          <t>op_year_index</t>
        </is>
      </c>
      <c r="B16" s="2" t="n">
        <v>0</v>
      </c>
      <c r="C16" s="2" t="n">
        <v>1</v>
      </c>
      <c r="D16" s="2" t="n">
        <v>2</v>
      </c>
      <c r="E16" s="2" t="n">
        <v>3</v>
      </c>
      <c r="F16" s="2" t="n">
        <v>4</v>
      </c>
      <c r="G16" s="2" t="n">
        <v>5</v>
      </c>
      <c r="H16" s="2" t="n">
        <v>6</v>
      </c>
      <c r="I16" s="2" t="n">
        <v>7</v>
      </c>
      <c r="J16" s="2" t="n">
        <v>8</v>
      </c>
      <c r="K16" s="2" t="n">
        <v>9</v>
      </c>
    </row>
    <row r="18">
      <c r="A18" t="inlineStr">
        <is>
          <t>Full-staff payroll incl. on-costs (2029)</t>
        </is>
      </c>
      <c r="B18" s="3">
        <f>1096800*(1+Inputs!$B$23)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Income statement, JOD (live formulas)</t>
        </is>
      </c>
    </row>
    <row r="2">
      <c r="A2" t="inlineStr">
        <is>
          <t>Year</t>
        </is>
      </c>
      <c r="B2" s="1" t="n">
        <v>2029</v>
      </c>
      <c r="C2" s="1" t="n">
        <v>2030</v>
      </c>
      <c r="D2" s="1" t="n">
        <v>2031</v>
      </c>
      <c r="E2" s="1" t="n">
        <v>2032</v>
      </c>
      <c r="F2" s="1" t="n">
        <v>2033</v>
      </c>
      <c r="G2" s="1" t="n">
        <v>2034</v>
      </c>
      <c r="H2" s="1" t="n">
        <v>2035</v>
      </c>
      <c r="I2" s="1" t="n">
        <v>2036</v>
      </c>
      <c r="J2" s="1" t="n">
        <v>2037</v>
      </c>
      <c r="K2" s="1" t="n">
        <v>2038</v>
      </c>
    </row>
    <row r="3">
      <c r="A3" t="inlineStr">
        <is>
          <t>Ward bed-days revenue</t>
        </is>
      </c>
      <c r="B3" s="3">
        <f>Inputs!$B$3*365*MIN(Drivers!B$3*Inputs!$B$21,0.95)*Inputs!$B$5*(1+Inputs!$B$18)^Drivers!B$16*Inputs!$B$22</f>
        <v/>
      </c>
      <c r="C3" s="3">
        <f>Inputs!$B$3*365*MIN(Drivers!C$3*Inputs!$B$21,0.95)*Inputs!$B$5*(1+Inputs!$B$18)^Drivers!C$16*Inputs!$B$22</f>
        <v/>
      </c>
      <c r="D3" s="3">
        <f>Inputs!$B$3*365*MIN(Drivers!D$3*Inputs!$B$21,0.95)*Inputs!$B$5*(1+Inputs!$B$18)^Drivers!D$16*Inputs!$B$22</f>
        <v/>
      </c>
      <c r="E3" s="3">
        <f>Inputs!$B$3*365*MIN(Drivers!E$3*Inputs!$B$21,0.95)*Inputs!$B$5*(1+Inputs!$B$18)^Drivers!E$16*Inputs!$B$22</f>
        <v/>
      </c>
      <c r="F3" s="3">
        <f>Inputs!$B$3*365*MIN(Drivers!F$3*Inputs!$B$21,0.95)*Inputs!$B$5*(1+Inputs!$B$18)^Drivers!F$16*Inputs!$B$22</f>
        <v/>
      </c>
      <c r="G3" s="3">
        <f>Inputs!$B$3*365*MIN(Drivers!G$3*Inputs!$B$21,0.95)*Inputs!$B$5*(1+Inputs!$B$18)^Drivers!G$16*Inputs!$B$22</f>
        <v/>
      </c>
      <c r="H3" s="3">
        <f>Inputs!$B$3*365*MIN(Drivers!H$3*Inputs!$B$21,0.95)*Inputs!$B$5*(1+Inputs!$B$18)^Drivers!H$16*Inputs!$B$22</f>
        <v/>
      </c>
      <c r="I3" s="3">
        <f>Inputs!$B$3*365*MIN(Drivers!I$3*Inputs!$B$21,0.95)*Inputs!$B$5*(1+Inputs!$B$18)^Drivers!I$16*Inputs!$B$22</f>
        <v/>
      </c>
      <c r="J3" s="3">
        <f>Inputs!$B$3*365*MIN(Drivers!J$3*Inputs!$B$21,0.95)*Inputs!$B$5*(1+Inputs!$B$18)^Drivers!J$16*Inputs!$B$22</f>
        <v/>
      </c>
      <c r="K3" s="3">
        <f>Inputs!$B$3*365*MIN(Drivers!K$3*Inputs!$B$21,0.95)*Inputs!$B$5*(1+Inputs!$B$18)^Drivers!K$16*Inputs!$B$22</f>
        <v/>
      </c>
    </row>
    <row r="4">
      <c r="A4" t="inlineStr">
        <is>
          <t>ICU days revenue</t>
        </is>
      </c>
      <c r="B4" s="3">
        <f>Inputs!$B$4*365*MIN(Drivers!B$4*Inputs!$B$21,0.95)*Inputs!$B$6*(1+Inputs!$B$18)^Drivers!B$16*Inputs!$B$22</f>
        <v/>
      </c>
      <c r="C4" s="3">
        <f>Inputs!$B$4*365*MIN(Drivers!C$4*Inputs!$B$21,0.95)*Inputs!$B$6*(1+Inputs!$B$18)^Drivers!C$16*Inputs!$B$22</f>
        <v/>
      </c>
      <c r="D4" s="3">
        <f>Inputs!$B$4*365*MIN(Drivers!D$4*Inputs!$B$21,0.95)*Inputs!$B$6*(1+Inputs!$B$18)^Drivers!D$16*Inputs!$B$22</f>
        <v/>
      </c>
      <c r="E4" s="3">
        <f>Inputs!$B$4*365*MIN(Drivers!E$4*Inputs!$B$21,0.95)*Inputs!$B$6*(1+Inputs!$B$18)^Drivers!E$16*Inputs!$B$22</f>
        <v/>
      </c>
      <c r="F4" s="3">
        <f>Inputs!$B$4*365*MIN(Drivers!F$4*Inputs!$B$21,0.95)*Inputs!$B$6*(1+Inputs!$B$18)^Drivers!F$16*Inputs!$B$22</f>
        <v/>
      </c>
      <c r="G4" s="3">
        <f>Inputs!$B$4*365*MIN(Drivers!G$4*Inputs!$B$21,0.95)*Inputs!$B$6*(1+Inputs!$B$18)^Drivers!G$16*Inputs!$B$22</f>
        <v/>
      </c>
      <c r="H4" s="3">
        <f>Inputs!$B$4*365*MIN(Drivers!H$4*Inputs!$B$21,0.95)*Inputs!$B$6*(1+Inputs!$B$18)^Drivers!H$16*Inputs!$B$22</f>
        <v/>
      </c>
      <c r="I4" s="3">
        <f>Inputs!$B$4*365*MIN(Drivers!I$4*Inputs!$B$21,0.95)*Inputs!$B$6*(1+Inputs!$B$18)^Drivers!I$16*Inputs!$B$22</f>
        <v/>
      </c>
      <c r="J4" s="3">
        <f>Inputs!$B$4*365*MIN(Drivers!J$4*Inputs!$B$21,0.95)*Inputs!$B$6*(1+Inputs!$B$18)^Drivers!J$16*Inputs!$B$22</f>
        <v/>
      </c>
      <c r="K4" s="3">
        <f>Inputs!$B$4*365*MIN(Drivers!K$4*Inputs!$B$21,0.95)*Inputs!$B$6*(1+Inputs!$B$18)^Drivers!K$16*Inputs!$B$22</f>
        <v/>
      </c>
    </row>
    <row r="5">
      <c r="A5" t="inlineStr">
        <is>
          <t>Surgery (hospital fee)</t>
        </is>
      </c>
      <c r="B5" s="3">
        <f>Drivers!B$5*Inputs!$B$21*Inputs!$B$7*(1+Inputs!$B$18)^Drivers!B$16*Inputs!$B$22</f>
        <v/>
      </c>
      <c r="C5" s="3">
        <f>Drivers!C$5*Inputs!$B$21*Inputs!$B$7*(1+Inputs!$B$18)^Drivers!C$16*Inputs!$B$22</f>
        <v/>
      </c>
      <c r="D5" s="3">
        <f>Drivers!D$5*Inputs!$B$21*Inputs!$B$7*(1+Inputs!$B$18)^Drivers!D$16*Inputs!$B$22</f>
        <v/>
      </c>
      <c r="E5" s="3">
        <f>Drivers!E$5*Inputs!$B$21*Inputs!$B$7*(1+Inputs!$B$18)^Drivers!E$16*Inputs!$B$22</f>
        <v/>
      </c>
      <c r="F5" s="3">
        <f>Drivers!F$5*Inputs!$B$21*Inputs!$B$7*(1+Inputs!$B$18)^Drivers!F$16*Inputs!$B$22</f>
        <v/>
      </c>
      <c r="G5" s="3">
        <f>Drivers!G$5*Inputs!$B$21*Inputs!$B$7*(1+Inputs!$B$18)^Drivers!G$16*Inputs!$B$22</f>
        <v/>
      </c>
      <c r="H5" s="3">
        <f>Drivers!H$5*Inputs!$B$21*Inputs!$B$7*(1+Inputs!$B$18)^Drivers!H$16*Inputs!$B$22</f>
        <v/>
      </c>
      <c r="I5" s="3">
        <f>Drivers!I$5*Inputs!$B$21*Inputs!$B$7*(1+Inputs!$B$18)^Drivers!I$16*Inputs!$B$22</f>
        <v/>
      </c>
      <c r="J5" s="3">
        <f>Drivers!J$5*Inputs!$B$21*Inputs!$B$7*(1+Inputs!$B$18)^Drivers!J$16*Inputs!$B$22</f>
        <v/>
      </c>
      <c r="K5" s="3">
        <f>Drivers!K$5*Inputs!$B$21*Inputs!$B$7*(1+Inputs!$B$18)^Drivers!K$16*Inputs!$B$22</f>
        <v/>
      </c>
    </row>
    <row r="6">
      <c r="A6" t="inlineStr">
        <is>
          <t>Day surgery</t>
        </is>
      </c>
      <c r="B6" s="3">
        <f>Drivers!B$6*Inputs!$B$21*Inputs!$B$9*(1+Inputs!$B$18)^Drivers!B$16*Inputs!$B$22</f>
        <v/>
      </c>
      <c r="C6" s="3">
        <f>Drivers!C$6*Inputs!$B$21*Inputs!$B$9*(1+Inputs!$B$18)^Drivers!C$16*Inputs!$B$22</f>
        <v/>
      </c>
      <c r="D6" s="3">
        <f>Drivers!D$6*Inputs!$B$21*Inputs!$B$9*(1+Inputs!$B$18)^Drivers!D$16*Inputs!$B$22</f>
        <v/>
      </c>
      <c r="E6" s="3">
        <f>Drivers!E$6*Inputs!$B$21*Inputs!$B$9*(1+Inputs!$B$18)^Drivers!E$16*Inputs!$B$22</f>
        <v/>
      </c>
      <c r="F6" s="3">
        <f>Drivers!F$6*Inputs!$B$21*Inputs!$B$9*(1+Inputs!$B$18)^Drivers!F$16*Inputs!$B$22</f>
        <v/>
      </c>
      <c r="G6" s="3">
        <f>Drivers!G$6*Inputs!$B$21*Inputs!$B$9*(1+Inputs!$B$18)^Drivers!G$16*Inputs!$B$22</f>
        <v/>
      </c>
      <c r="H6" s="3">
        <f>Drivers!H$6*Inputs!$B$21*Inputs!$B$9*(1+Inputs!$B$18)^Drivers!H$16*Inputs!$B$22</f>
        <v/>
      </c>
      <c r="I6" s="3">
        <f>Drivers!I$6*Inputs!$B$21*Inputs!$B$9*(1+Inputs!$B$18)^Drivers!I$16*Inputs!$B$22</f>
        <v/>
      </c>
      <c r="J6" s="3">
        <f>Drivers!J$6*Inputs!$B$21*Inputs!$B$9*(1+Inputs!$B$18)^Drivers!J$16*Inputs!$B$22</f>
        <v/>
      </c>
      <c r="K6" s="3">
        <f>Drivers!K$6*Inputs!$B$21*Inputs!$B$9*(1+Inputs!$B$18)^Drivers!K$16*Inputs!$B$22</f>
        <v/>
      </c>
    </row>
    <row r="7">
      <c r="A7" t="inlineStr">
        <is>
          <t>Endoscopy</t>
        </is>
      </c>
      <c r="B7" s="3">
        <f>Drivers!B$7*Inputs!$B$21*Inputs!$B$11*(1+Inputs!$B$18)^Drivers!B$16*Inputs!$B$22</f>
        <v/>
      </c>
      <c r="C7" s="3">
        <f>Drivers!C$7*Inputs!$B$21*Inputs!$B$11*(1+Inputs!$B$18)^Drivers!C$16*Inputs!$B$22</f>
        <v/>
      </c>
      <c r="D7" s="3">
        <f>Drivers!D$7*Inputs!$B$21*Inputs!$B$11*(1+Inputs!$B$18)^Drivers!D$16*Inputs!$B$22</f>
        <v/>
      </c>
      <c r="E7" s="3">
        <f>Drivers!E$7*Inputs!$B$21*Inputs!$B$11*(1+Inputs!$B$18)^Drivers!E$16*Inputs!$B$22</f>
        <v/>
      </c>
      <c r="F7" s="3">
        <f>Drivers!F$7*Inputs!$B$21*Inputs!$B$11*(1+Inputs!$B$18)^Drivers!F$16*Inputs!$B$22</f>
        <v/>
      </c>
      <c r="G7" s="3">
        <f>Drivers!G$7*Inputs!$B$21*Inputs!$B$11*(1+Inputs!$B$18)^Drivers!G$16*Inputs!$B$22</f>
        <v/>
      </c>
      <c r="H7" s="3">
        <f>Drivers!H$7*Inputs!$B$21*Inputs!$B$11*(1+Inputs!$B$18)^Drivers!H$16*Inputs!$B$22</f>
        <v/>
      </c>
      <c r="I7" s="3">
        <f>Drivers!I$7*Inputs!$B$21*Inputs!$B$11*(1+Inputs!$B$18)^Drivers!I$16*Inputs!$B$22</f>
        <v/>
      </c>
      <c r="J7" s="3">
        <f>Drivers!J$7*Inputs!$B$21*Inputs!$B$11*(1+Inputs!$B$18)^Drivers!J$16*Inputs!$B$22</f>
        <v/>
      </c>
      <c r="K7" s="3">
        <f>Drivers!K$7*Inputs!$B$21*Inputs!$B$11*(1+Inputs!$B$18)^Drivers!K$16*Inputs!$B$22</f>
        <v/>
      </c>
    </row>
    <row r="8">
      <c r="A8" t="inlineStr">
        <is>
          <t>Implants</t>
        </is>
      </c>
      <c r="B8" s="3">
        <f>(Drivers!B$5*Inputs!$B$8+Drivers!B$6*Inputs!$B$10)*Inputs!$B$21*(1+Inputs!$B$18)^Drivers!B$16*Inputs!$B$22</f>
        <v/>
      </c>
      <c r="C8" s="3">
        <f>(Drivers!C$5*Inputs!$B$8+Drivers!C$6*Inputs!$B$10)*Inputs!$B$21*(1+Inputs!$B$18)^Drivers!C$16*Inputs!$B$22</f>
        <v/>
      </c>
      <c r="D8" s="3">
        <f>(Drivers!D$5*Inputs!$B$8+Drivers!D$6*Inputs!$B$10)*Inputs!$B$21*(1+Inputs!$B$18)^Drivers!D$16*Inputs!$B$22</f>
        <v/>
      </c>
      <c r="E8" s="3">
        <f>(Drivers!E$5*Inputs!$B$8+Drivers!E$6*Inputs!$B$10)*Inputs!$B$21*(1+Inputs!$B$18)^Drivers!E$16*Inputs!$B$22</f>
        <v/>
      </c>
      <c r="F8" s="3">
        <f>(Drivers!F$5*Inputs!$B$8+Drivers!F$6*Inputs!$B$10)*Inputs!$B$21*(1+Inputs!$B$18)^Drivers!F$16*Inputs!$B$22</f>
        <v/>
      </c>
      <c r="G8" s="3">
        <f>(Drivers!G$5*Inputs!$B$8+Drivers!G$6*Inputs!$B$10)*Inputs!$B$21*(1+Inputs!$B$18)^Drivers!G$16*Inputs!$B$22</f>
        <v/>
      </c>
      <c r="H8" s="3">
        <f>(Drivers!H$5*Inputs!$B$8+Drivers!H$6*Inputs!$B$10)*Inputs!$B$21*(1+Inputs!$B$18)^Drivers!H$16*Inputs!$B$22</f>
        <v/>
      </c>
      <c r="I8" s="3">
        <f>(Drivers!I$5*Inputs!$B$8+Drivers!I$6*Inputs!$B$10)*Inputs!$B$21*(1+Inputs!$B$18)^Drivers!I$16*Inputs!$B$22</f>
        <v/>
      </c>
      <c r="J8" s="3">
        <f>(Drivers!J$5*Inputs!$B$8+Drivers!J$6*Inputs!$B$10)*Inputs!$B$21*(1+Inputs!$B$18)^Drivers!J$16*Inputs!$B$22</f>
        <v/>
      </c>
      <c r="K8" s="3">
        <f>(Drivers!K$5*Inputs!$B$8+Drivers!K$6*Inputs!$B$10)*Inputs!$B$21*(1+Inputs!$B$18)^Drivers!K$16*Inputs!$B$22</f>
        <v/>
      </c>
    </row>
    <row r="9">
      <c r="A9" t="inlineStr">
        <is>
          <t>Emergency visits</t>
        </is>
      </c>
      <c r="B9" s="3">
        <f>Drivers!B$8*365*Inputs!$B$21*Inputs!$B$12*(1+Inputs!$B$18)^Drivers!B$16*Inputs!$B$22</f>
        <v/>
      </c>
      <c r="C9" s="3">
        <f>Drivers!C$8*365*Inputs!$B$21*Inputs!$B$12*(1+Inputs!$B$18)^Drivers!C$16*Inputs!$B$22</f>
        <v/>
      </c>
      <c r="D9" s="3">
        <f>Drivers!D$8*365*Inputs!$B$21*Inputs!$B$12*(1+Inputs!$B$18)^Drivers!D$16*Inputs!$B$22</f>
        <v/>
      </c>
      <c r="E9" s="3">
        <f>Drivers!E$8*365*Inputs!$B$21*Inputs!$B$12*(1+Inputs!$B$18)^Drivers!E$16*Inputs!$B$22</f>
        <v/>
      </c>
      <c r="F9" s="3">
        <f>Drivers!F$8*365*Inputs!$B$21*Inputs!$B$12*(1+Inputs!$B$18)^Drivers!F$16*Inputs!$B$22</f>
        <v/>
      </c>
      <c r="G9" s="3">
        <f>Drivers!G$8*365*Inputs!$B$21*Inputs!$B$12*(1+Inputs!$B$18)^Drivers!G$16*Inputs!$B$22</f>
        <v/>
      </c>
      <c r="H9" s="3">
        <f>Drivers!H$8*365*Inputs!$B$21*Inputs!$B$12*(1+Inputs!$B$18)^Drivers!H$16*Inputs!$B$22</f>
        <v/>
      </c>
      <c r="I9" s="3">
        <f>Drivers!I$8*365*Inputs!$B$21*Inputs!$B$12*(1+Inputs!$B$18)^Drivers!I$16*Inputs!$B$22</f>
        <v/>
      </c>
      <c r="J9" s="3">
        <f>Drivers!J$8*365*Inputs!$B$21*Inputs!$B$12*(1+Inputs!$B$18)^Drivers!J$16*Inputs!$B$22</f>
        <v/>
      </c>
      <c r="K9" s="3">
        <f>Drivers!K$8*365*Inputs!$B$21*Inputs!$B$12*(1+Inputs!$B$18)^Drivers!K$16*Inputs!$B$22</f>
        <v/>
      </c>
    </row>
    <row r="10">
      <c r="A10" t="inlineStr">
        <is>
          <t>CT scans</t>
        </is>
      </c>
      <c r="B10" s="3">
        <f>Drivers!B$9*Inputs!$B$21*Inputs!$B$13*(1+Inputs!$B$18)^Drivers!B$16*Inputs!$B$22</f>
        <v/>
      </c>
      <c r="C10" s="3">
        <f>Drivers!C$9*Inputs!$B$21*Inputs!$B$13*(1+Inputs!$B$18)^Drivers!C$16*Inputs!$B$22</f>
        <v/>
      </c>
      <c r="D10" s="3">
        <f>Drivers!D$9*Inputs!$B$21*Inputs!$B$13*(1+Inputs!$B$18)^Drivers!D$16*Inputs!$B$22</f>
        <v/>
      </c>
      <c r="E10" s="3">
        <f>Drivers!E$9*Inputs!$B$21*Inputs!$B$13*(1+Inputs!$B$18)^Drivers!E$16*Inputs!$B$22</f>
        <v/>
      </c>
      <c r="F10" s="3">
        <f>Drivers!F$9*Inputs!$B$21*Inputs!$B$13*(1+Inputs!$B$18)^Drivers!F$16*Inputs!$B$22</f>
        <v/>
      </c>
      <c r="G10" s="3">
        <f>Drivers!G$9*Inputs!$B$21*Inputs!$B$13*(1+Inputs!$B$18)^Drivers!G$16*Inputs!$B$22</f>
        <v/>
      </c>
      <c r="H10" s="3">
        <f>Drivers!H$9*Inputs!$B$21*Inputs!$B$13*(1+Inputs!$B$18)^Drivers!H$16*Inputs!$B$22</f>
        <v/>
      </c>
      <c r="I10" s="3">
        <f>Drivers!I$9*Inputs!$B$21*Inputs!$B$13*(1+Inputs!$B$18)^Drivers!I$16*Inputs!$B$22</f>
        <v/>
      </c>
      <c r="J10" s="3">
        <f>Drivers!J$9*Inputs!$B$21*Inputs!$B$13*(1+Inputs!$B$18)^Drivers!J$16*Inputs!$B$22</f>
        <v/>
      </c>
      <c r="K10" s="3">
        <f>Drivers!K$9*Inputs!$B$21*Inputs!$B$13*(1+Inputs!$B$18)^Drivers!K$16*Inputs!$B$22</f>
        <v/>
      </c>
    </row>
    <row r="11">
      <c r="A11" t="inlineStr">
        <is>
          <t>Outpatient clinics</t>
        </is>
      </c>
      <c r="B11" s="3">
        <f>Drivers!B$10*Inputs!$B$21*Inputs!$B$14*(1+Inputs!$B$18)^Drivers!B$16*Inputs!$B$22</f>
        <v/>
      </c>
      <c r="C11" s="3">
        <f>Drivers!C$10*Inputs!$B$21*Inputs!$B$14*(1+Inputs!$B$18)^Drivers!C$16*Inputs!$B$22</f>
        <v/>
      </c>
      <c r="D11" s="3">
        <f>Drivers!D$10*Inputs!$B$21*Inputs!$B$14*(1+Inputs!$B$18)^Drivers!D$16*Inputs!$B$22</f>
        <v/>
      </c>
      <c r="E11" s="3">
        <f>Drivers!E$10*Inputs!$B$21*Inputs!$B$14*(1+Inputs!$B$18)^Drivers!E$16*Inputs!$B$22</f>
        <v/>
      </c>
      <c r="F11" s="3">
        <f>Drivers!F$10*Inputs!$B$21*Inputs!$B$14*(1+Inputs!$B$18)^Drivers!F$16*Inputs!$B$22</f>
        <v/>
      </c>
      <c r="G11" s="3">
        <f>Drivers!G$10*Inputs!$B$21*Inputs!$B$14*(1+Inputs!$B$18)^Drivers!G$16*Inputs!$B$22</f>
        <v/>
      </c>
      <c r="H11" s="3">
        <f>Drivers!H$10*Inputs!$B$21*Inputs!$B$14*(1+Inputs!$B$18)^Drivers!H$16*Inputs!$B$22</f>
        <v/>
      </c>
      <c r="I11" s="3">
        <f>Drivers!I$10*Inputs!$B$21*Inputs!$B$14*(1+Inputs!$B$18)^Drivers!I$16*Inputs!$B$22</f>
        <v/>
      </c>
      <c r="J11" s="3">
        <f>Drivers!J$10*Inputs!$B$21*Inputs!$B$14*(1+Inputs!$B$18)^Drivers!J$16*Inputs!$B$22</f>
        <v/>
      </c>
      <c r="K11" s="3">
        <f>Drivers!K$10*Inputs!$B$21*Inputs!$B$14*(1+Inputs!$B$18)^Drivers!K$16*Inputs!$B$22</f>
        <v/>
      </c>
    </row>
    <row r="12">
      <c r="A12" t="inlineStr">
        <is>
          <t>Physiotherapy</t>
        </is>
      </c>
      <c r="B12" s="3">
        <f>Drivers!B$11*Inputs!$B$21*Inputs!$B$15*(1+Inputs!$B$18)^Drivers!B$16*Inputs!$B$22</f>
        <v/>
      </c>
      <c r="C12" s="3">
        <f>Drivers!C$11*Inputs!$B$21*Inputs!$B$15*(1+Inputs!$B$18)^Drivers!C$16*Inputs!$B$22</f>
        <v/>
      </c>
      <c r="D12" s="3">
        <f>Drivers!D$11*Inputs!$B$21*Inputs!$B$15*(1+Inputs!$B$18)^Drivers!D$16*Inputs!$B$22</f>
        <v/>
      </c>
      <c r="E12" s="3">
        <f>Drivers!E$11*Inputs!$B$21*Inputs!$B$15*(1+Inputs!$B$18)^Drivers!E$16*Inputs!$B$22</f>
        <v/>
      </c>
      <c r="F12" s="3">
        <f>Drivers!F$11*Inputs!$B$21*Inputs!$B$15*(1+Inputs!$B$18)^Drivers!F$16*Inputs!$B$22</f>
        <v/>
      </c>
      <c r="G12" s="3">
        <f>Drivers!G$11*Inputs!$B$21*Inputs!$B$15*(1+Inputs!$B$18)^Drivers!G$16*Inputs!$B$22</f>
        <v/>
      </c>
      <c r="H12" s="3">
        <f>Drivers!H$11*Inputs!$B$21*Inputs!$B$15*(1+Inputs!$B$18)^Drivers!H$16*Inputs!$B$22</f>
        <v/>
      </c>
      <c r="I12" s="3">
        <f>Drivers!I$11*Inputs!$B$21*Inputs!$B$15*(1+Inputs!$B$18)^Drivers!I$16*Inputs!$B$22</f>
        <v/>
      </c>
      <c r="J12" s="3">
        <f>Drivers!J$11*Inputs!$B$21*Inputs!$B$15*(1+Inputs!$B$18)^Drivers!J$16*Inputs!$B$22</f>
        <v/>
      </c>
      <c r="K12" s="3">
        <f>Drivers!K$11*Inputs!$B$21*Inputs!$B$15*(1+Inputs!$B$18)^Drivers!K$16*Inputs!$B$22</f>
        <v/>
      </c>
    </row>
    <row r="13">
      <c r="A13" t="inlineStr">
        <is>
          <t>Tourist cases</t>
        </is>
      </c>
      <c r="B13" s="3">
        <f>Drivers!B$12*Inputs!$B$16*(1+Inputs!$B$18)^Drivers!B$16*Inputs!$B$22</f>
        <v/>
      </c>
      <c r="C13" s="3">
        <f>Drivers!C$12*Inputs!$B$16*(1+Inputs!$B$18)^Drivers!C$16*Inputs!$B$22</f>
        <v/>
      </c>
      <c r="D13" s="3">
        <f>Drivers!D$12*Inputs!$B$16*(1+Inputs!$B$18)^Drivers!D$16*Inputs!$B$22</f>
        <v/>
      </c>
      <c r="E13" s="3">
        <f>Drivers!E$12*Inputs!$B$16*(1+Inputs!$B$18)^Drivers!E$16*Inputs!$B$22</f>
        <v/>
      </c>
      <c r="F13" s="3">
        <f>Drivers!F$12*Inputs!$B$16*(1+Inputs!$B$18)^Drivers!F$16*Inputs!$B$22</f>
        <v/>
      </c>
      <c r="G13" s="3">
        <f>Drivers!G$12*Inputs!$B$16*(1+Inputs!$B$18)^Drivers!G$16*Inputs!$B$22</f>
        <v/>
      </c>
      <c r="H13" s="3">
        <f>Drivers!H$12*Inputs!$B$16*(1+Inputs!$B$18)^Drivers!H$16*Inputs!$B$22</f>
        <v/>
      </c>
      <c r="I13" s="3">
        <f>Drivers!I$12*Inputs!$B$16*(1+Inputs!$B$18)^Drivers!I$16*Inputs!$B$22</f>
        <v/>
      </c>
      <c r="J13" s="3">
        <f>Drivers!J$12*Inputs!$B$16*(1+Inputs!$B$18)^Drivers!J$16*Inputs!$B$22</f>
        <v/>
      </c>
      <c r="K13" s="3">
        <f>Drivers!K$12*Inputs!$B$16*(1+Inputs!$B$18)^Drivers!K$16*Inputs!$B$22</f>
        <v/>
      </c>
    </row>
    <row r="14">
      <c r="A14" t="inlineStr">
        <is>
          <t>Pharmacy (outpatient)</t>
        </is>
      </c>
      <c r="B14" s="3">
        <f>Inputs!$B$17*(B9+B11)</f>
        <v/>
      </c>
      <c r="C14" s="3">
        <f>Inputs!$B$17*(C9+C11)</f>
        <v/>
      </c>
      <c r="D14" s="3">
        <f>Inputs!$B$17*(D9+D11)</f>
        <v/>
      </c>
      <c r="E14" s="3">
        <f>Inputs!$B$17*(E9+E11)</f>
        <v/>
      </c>
      <c r="F14" s="3">
        <f>Inputs!$B$17*(F9+F11)</f>
        <v/>
      </c>
      <c r="G14" s="3">
        <f>Inputs!$B$17*(G9+G11)</f>
        <v/>
      </c>
      <c r="H14" s="3">
        <f>Inputs!$B$17*(H9+H11)</f>
        <v/>
      </c>
      <c r="I14" s="3">
        <f>Inputs!$B$17*(I9+I11)</f>
        <v/>
      </c>
      <c r="J14" s="3">
        <f>Inputs!$B$17*(J9+J11)</f>
        <v/>
      </c>
      <c r="K14" s="3">
        <f>Inputs!$B$17*(K9+K11)</f>
        <v/>
      </c>
    </row>
    <row r="15">
      <c r="A15" s="1" t="inlineStr">
        <is>
          <t>Gross revenue</t>
        </is>
      </c>
      <c r="B15" s="3">
        <f>SUM(B3:B14)</f>
        <v/>
      </c>
      <c r="C15" s="3">
        <f>SUM(C3:C14)</f>
        <v/>
      </c>
      <c r="D15" s="3">
        <f>SUM(D3:D14)</f>
        <v/>
      </c>
      <c r="E15" s="3">
        <f>SUM(E3:E14)</f>
        <v/>
      </c>
      <c r="F15" s="3">
        <f>SUM(F3:F14)</f>
        <v/>
      </c>
      <c r="G15" s="3">
        <f>SUM(G3:G14)</f>
        <v/>
      </c>
      <c r="H15" s="3">
        <f>SUM(H3:H14)</f>
        <v/>
      </c>
      <c r="I15" s="3">
        <f>SUM(I3:I14)</f>
        <v/>
      </c>
      <c r="J15" s="3">
        <f>SUM(J3:J14)</f>
        <v/>
      </c>
      <c r="K15" s="3">
        <f>SUM(K3:K14)</f>
        <v/>
      </c>
    </row>
    <row r="16">
      <c r="A16" t="inlineStr">
        <is>
          <t>Insurer discounts and denials</t>
        </is>
      </c>
      <c r="B16" s="3">
        <f>-B15*Inputs!$B$19</f>
        <v/>
      </c>
      <c r="C16" s="3">
        <f>-C15*Inputs!$B$19</f>
        <v/>
      </c>
      <c r="D16" s="3">
        <f>-D15*Inputs!$B$19</f>
        <v/>
      </c>
      <c r="E16" s="3">
        <f>-E15*Inputs!$B$19</f>
        <v/>
      </c>
      <c r="F16" s="3">
        <f>-F15*Inputs!$B$19</f>
        <v/>
      </c>
      <c r="G16" s="3">
        <f>-G15*Inputs!$B$19</f>
        <v/>
      </c>
      <c r="H16" s="3">
        <f>-H15*Inputs!$B$19</f>
        <v/>
      </c>
      <c r="I16" s="3">
        <f>-I15*Inputs!$B$19</f>
        <v/>
      </c>
      <c r="J16" s="3">
        <f>-J15*Inputs!$B$19</f>
        <v/>
      </c>
      <c r="K16" s="3">
        <f>-K15*Inputs!$B$19</f>
        <v/>
      </c>
    </row>
    <row r="17">
      <c r="A17" s="1" t="inlineStr">
        <is>
          <t>NET REVENUE</t>
        </is>
      </c>
      <c r="B17" s="3">
        <f>B15+B16</f>
        <v/>
      </c>
      <c r="C17" s="3">
        <f>C15+C16</f>
        <v/>
      </c>
      <c r="D17" s="3">
        <f>D15+D16</f>
        <v/>
      </c>
      <c r="E17" s="3">
        <f>E15+E16</f>
        <v/>
      </c>
      <c r="F17" s="3">
        <f>F15+F16</f>
        <v/>
      </c>
      <c r="G17" s="3">
        <f>G15+G16</f>
        <v/>
      </c>
      <c r="H17" s="3">
        <f>H15+H16</f>
        <v/>
      </c>
      <c r="I17" s="3">
        <f>I15+I16</f>
        <v/>
      </c>
      <c r="J17" s="3">
        <f>J15+J16</f>
        <v/>
      </c>
      <c r="K17" s="3">
        <f>K15+K16</f>
        <v/>
      </c>
    </row>
    <row r="18">
      <c r="A18" t="inlineStr">
        <is>
          <t>Payroll</t>
        </is>
      </c>
      <c r="B18" s="3">
        <f>Drivers!$B$18*Drivers!B$13*(1+Inputs!$B$24)^Drivers!B$16</f>
        <v/>
      </c>
      <c r="C18" s="3">
        <f>Drivers!$B$18*Drivers!C$13*(1+Inputs!$B$24)^Drivers!C$16</f>
        <v/>
      </c>
      <c r="D18" s="3">
        <f>Drivers!$B$18*Drivers!D$13*(1+Inputs!$B$24)^Drivers!D$16</f>
        <v/>
      </c>
      <c r="E18" s="3">
        <f>Drivers!$B$18*Drivers!E$13*(1+Inputs!$B$24)^Drivers!E$16</f>
        <v/>
      </c>
      <c r="F18" s="3">
        <f>Drivers!$B$18*Drivers!F$13*(1+Inputs!$B$24)^Drivers!F$16</f>
        <v/>
      </c>
      <c r="G18" s="3">
        <f>Drivers!$B$18*Drivers!G$13*(1+Inputs!$B$24)^Drivers!G$16</f>
        <v/>
      </c>
      <c r="H18" s="3">
        <f>Drivers!$B$18*Drivers!H$13*(1+Inputs!$B$24)^Drivers!H$16</f>
        <v/>
      </c>
      <c r="I18" s="3">
        <f>Drivers!$B$18*Drivers!I$13*(1+Inputs!$B$24)^Drivers!I$16</f>
        <v/>
      </c>
      <c r="J18" s="3">
        <f>Drivers!$B$18*Drivers!J$13*(1+Inputs!$B$24)^Drivers!J$16</f>
        <v/>
      </c>
      <c r="K18" s="3">
        <f>Drivers!$B$18*Drivers!K$13*(1+Inputs!$B$24)^Drivers!K$16</f>
        <v/>
      </c>
    </row>
    <row r="19">
      <c r="A19" t="inlineStr">
        <is>
          <t>Drugs and consumables</t>
        </is>
      </c>
      <c r="B19" s="3">
        <f>(B17-B8*(1-Inputs!$B$19))*Inputs!$B$25</f>
        <v/>
      </c>
      <c r="C19" s="3">
        <f>(C17-C8*(1-Inputs!$B$19))*Inputs!$B$25</f>
        <v/>
      </c>
      <c r="D19" s="3">
        <f>(D17-D8*(1-Inputs!$B$19))*Inputs!$B$25</f>
        <v/>
      </c>
      <c r="E19" s="3">
        <f>(E17-E8*(1-Inputs!$B$19))*Inputs!$B$25</f>
        <v/>
      </c>
      <c r="F19" s="3">
        <f>(F17-F8*(1-Inputs!$B$19))*Inputs!$B$25</f>
        <v/>
      </c>
      <c r="G19" s="3">
        <f>(G17-G8*(1-Inputs!$B$19))*Inputs!$B$25</f>
        <v/>
      </c>
      <c r="H19" s="3">
        <f>(H17-H8*(1-Inputs!$B$19))*Inputs!$B$25</f>
        <v/>
      </c>
      <c r="I19" s="3">
        <f>(I17-I8*(1-Inputs!$B$19))*Inputs!$B$25</f>
        <v/>
      </c>
      <c r="J19" s="3">
        <f>(J17-J8*(1-Inputs!$B$19))*Inputs!$B$25</f>
        <v/>
      </c>
      <c r="K19" s="3">
        <f>(K17-K8*(1-Inputs!$B$19))*Inputs!$B$25</f>
        <v/>
      </c>
    </row>
    <row r="20">
      <c r="A20" t="inlineStr">
        <is>
          <t>Implants cost</t>
        </is>
      </c>
      <c r="B20" s="3">
        <f>B8*Inputs!$B$26</f>
        <v/>
      </c>
      <c r="C20" s="3">
        <f>C8*Inputs!$B$26</f>
        <v/>
      </c>
      <c r="D20" s="3">
        <f>D8*Inputs!$B$26</f>
        <v/>
      </c>
      <c r="E20" s="3">
        <f>E8*Inputs!$B$26</f>
        <v/>
      </c>
      <c r="F20" s="3">
        <f>F8*Inputs!$B$26</f>
        <v/>
      </c>
      <c r="G20" s="3">
        <f>G8*Inputs!$B$26</f>
        <v/>
      </c>
      <c r="H20" s="3">
        <f>H8*Inputs!$B$26</f>
        <v/>
      </c>
      <c r="I20" s="3">
        <f>I8*Inputs!$B$26</f>
        <v/>
      </c>
      <c r="J20" s="3">
        <f>J8*Inputs!$B$26</f>
        <v/>
      </c>
      <c r="K20" s="3">
        <f>K8*Inputs!$B$26</f>
        <v/>
      </c>
    </row>
    <row r="21">
      <c r="A21" t="inlineStr">
        <is>
          <t>Doctor incentives</t>
        </is>
      </c>
      <c r="B21" s="3">
        <f>(B5+B6+B7+B9)*Inputs!$B$27</f>
        <v/>
      </c>
      <c r="C21" s="3">
        <f>(C5+C6+C7+C9)*Inputs!$B$27</f>
        <v/>
      </c>
      <c r="D21" s="3">
        <f>(D5+D6+D7+D9)*Inputs!$B$27</f>
        <v/>
      </c>
      <c r="E21" s="3">
        <f>(E5+E6+E7+E9)*Inputs!$B$27</f>
        <v/>
      </c>
      <c r="F21" s="3">
        <f>(F5+F6+F7+F9)*Inputs!$B$27</f>
        <v/>
      </c>
      <c r="G21" s="3">
        <f>(G5+G6+G7+G9)*Inputs!$B$27</f>
        <v/>
      </c>
      <c r="H21" s="3">
        <f>(H5+H6+H7+H9)*Inputs!$B$27</f>
        <v/>
      </c>
      <c r="I21" s="3">
        <f>(I5+I6+I7+I9)*Inputs!$B$27</f>
        <v/>
      </c>
      <c r="J21" s="3">
        <f>(J5+J6+J7+J9)*Inputs!$B$27</f>
        <v/>
      </c>
      <c r="K21" s="3">
        <f>(K5+K6+K7+K9)*Inputs!$B$27</f>
        <v/>
      </c>
    </row>
    <row r="22">
      <c r="A22" t="inlineStr">
        <is>
          <t>Radiology reading</t>
        </is>
      </c>
      <c r="B22" s="3">
        <f>Drivers!B$9*Inputs!$B$21*Inputs!$B$28*(1+Inputs!$B$37)^Drivers!B$16</f>
        <v/>
      </c>
      <c r="C22" s="3">
        <f>Drivers!C$9*Inputs!$B$21*Inputs!$B$28*(1+Inputs!$B$37)^Drivers!C$16</f>
        <v/>
      </c>
      <c r="D22" s="3">
        <f>Drivers!D$9*Inputs!$B$21*Inputs!$B$28*(1+Inputs!$B$37)^Drivers!D$16</f>
        <v/>
      </c>
      <c r="E22" s="3">
        <f>Drivers!E$9*Inputs!$B$21*Inputs!$B$28*(1+Inputs!$B$37)^Drivers!E$16</f>
        <v/>
      </c>
      <c r="F22" s="3">
        <f>Drivers!F$9*Inputs!$B$21*Inputs!$B$28*(1+Inputs!$B$37)^Drivers!F$16</f>
        <v/>
      </c>
      <c r="G22" s="3">
        <f>Drivers!G$9*Inputs!$B$21*Inputs!$B$28*(1+Inputs!$B$37)^Drivers!G$16</f>
        <v/>
      </c>
      <c r="H22" s="3">
        <f>Drivers!H$9*Inputs!$B$21*Inputs!$B$28*(1+Inputs!$B$37)^Drivers!H$16</f>
        <v/>
      </c>
      <c r="I22" s="3">
        <f>Drivers!I$9*Inputs!$B$21*Inputs!$B$28*(1+Inputs!$B$37)^Drivers!I$16</f>
        <v/>
      </c>
      <c r="J22" s="3">
        <f>Drivers!J$9*Inputs!$B$21*Inputs!$B$28*(1+Inputs!$B$37)^Drivers!J$16</f>
        <v/>
      </c>
      <c r="K22" s="3">
        <f>Drivers!K$9*Inputs!$B$21*Inputs!$B$28*(1+Inputs!$B$37)^Drivers!K$16</f>
        <v/>
      </c>
    </row>
    <row r="23">
      <c r="A23" t="inlineStr">
        <is>
          <t>Utilities</t>
        </is>
      </c>
      <c r="B23" s="3">
        <f>Inputs!$B$29*(1+Inputs!$B$37)^Drivers!B$16</f>
        <v/>
      </c>
      <c r="C23" s="3">
        <f>Inputs!$B$29*(1+Inputs!$B$37)^Drivers!C$16</f>
        <v/>
      </c>
      <c r="D23" s="3">
        <f>Inputs!$B$29*(1+Inputs!$B$37)^Drivers!D$16</f>
        <v/>
      </c>
      <c r="E23" s="3">
        <f>Inputs!$B$29*(1+Inputs!$B$37)^Drivers!E$16</f>
        <v/>
      </c>
      <c r="F23" s="3">
        <f>Inputs!$B$29*(1+Inputs!$B$37)^Drivers!F$16</f>
        <v/>
      </c>
      <c r="G23" s="3">
        <f>Inputs!$B$29*(1+Inputs!$B$37)^Drivers!G$16</f>
        <v/>
      </c>
      <c r="H23" s="3">
        <f>Inputs!$B$29*(1+Inputs!$B$37)^Drivers!H$16</f>
        <v/>
      </c>
      <c r="I23" s="3">
        <f>Inputs!$B$29*(1+Inputs!$B$37)^Drivers!I$16</f>
        <v/>
      </c>
      <c r="J23" s="3">
        <f>Inputs!$B$29*(1+Inputs!$B$37)^Drivers!J$16</f>
        <v/>
      </c>
      <c r="K23" s="3">
        <f>Inputs!$B$29*(1+Inputs!$B$37)^Drivers!K$16</f>
        <v/>
      </c>
    </row>
    <row r="24">
      <c r="A24" t="inlineStr">
        <is>
          <t>Outsourced services</t>
        </is>
      </c>
      <c r="B24" s="3">
        <f>Inputs!$B$30*(1+Inputs!$B$37)^Drivers!B$16</f>
        <v/>
      </c>
      <c r="C24" s="3">
        <f>Inputs!$B$30*(1+Inputs!$B$37)^Drivers!C$16</f>
        <v/>
      </c>
      <c r="D24" s="3">
        <f>Inputs!$B$30*(1+Inputs!$B$37)^Drivers!D$16</f>
        <v/>
      </c>
      <c r="E24" s="3">
        <f>Inputs!$B$30*(1+Inputs!$B$37)^Drivers!E$16</f>
        <v/>
      </c>
      <c r="F24" s="3">
        <f>Inputs!$B$30*(1+Inputs!$B$37)^Drivers!F$16</f>
        <v/>
      </c>
      <c r="G24" s="3">
        <f>Inputs!$B$30*(1+Inputs!$B$37)^Drivers!G$16</f>
        <v/>
      </c>
      <c r="H24" s="3">
        <f>Inputs!$B$30*(1+Inputs!$B$37)^Drivers!H$16</f>
        <v/>
      </c>
      <c r="I24" s="3">
        <f>Inputs!$B$30*(1+Inputs!$B$37)^Drivers!I$16</f>
        <v/>
      </c>
      <c r="J24" s="3">
        <f>Inputs!$B$30*(1+Inputs!$B$37)^Drivers!J$16</f>
        <v/>
      </c>
      <c r="K24" s="3">
        <f>Inputs!$B$30*(1+Inputs!$B$37)^Drivers!K$16</f>
        <v/>
      </c>
    </row>
    <row r="25">
      <c r="A25" t="inlineStr">
        <is>
          <t>Insurance and malpractice</t>
        </is>
      </c>
      <c r="B25" s="3">
        <f>Inputs!$B$31*(1+Inputs!$B$37)^Drivers!B$16</f>
        <v/>
      </c>
      <c r="C25" s="3">
        <f>Inputs!$B$31*(1+Inputs!$B$37)^Drivers!C$16</f>
        <v/>
      </c>
      <c r="D25" s="3">
        <f>Inputs!$B$31*(1+Inputs!$B$37)^Drivers!D$16</f>
        <v/>
      </c>
      <c r="E25" s="3">
        <f>Inputs!$B$31*(1+Inputs!$B$37)^Drivers!E$16</f>
        <v/>
      </c>
      <c r="F25" s="3">
        <f>Inputs!$B$31*(1+Inputs!$B$37)^Drivers!F$16</f>
        <v/>
      </c>
      <c r="G25" s="3">
        <f>Inputs!$B$31*(1+Inputs!$B$37)^Drivers!G$16</f>
        <v/>
      </c>
      <c r="H25" s="3">
        <f>Inputs!$B$31*(1+Inputs!$B$37)^Drivers!H$16</f>
        <v/>
      </c>
      <c r="I25" s="3">
        <f>Inputs!$B$31*(1+Inputs!$B$37)^Drivers!I$16</f>
        <v/>
      </c>
      <c r="J25" s="3">
        <f>Inputs!$B$31*(1+Inputs!$B$37)^Drivers!J$16</f>
        <v/>
      </c>
      <c r="K25" s="3">
        <f>Inputs!$B$31*(1+Inputs!$B$37)^Drivers!K$16</f>
        <v/>
      </c>
    </row>
    <row r="26">
      <c r="A26" t="inlineStr">
        <is>
          <t>Marketing and contracts</t>
        </is>
      </c>
      <c r="B26" s="3">
        <f>Drivers!B$14*(1+Inputs!$B$37)^Drivers!B$16</f>
        <v/>
      </c>
      <c r="C26" s="3">
        <f>Drivers!C$14*(1+Inputs!$B$37)^Drivers!C$16</f>
        <v/>
      </c>
      <c r="D26" s="3">
        <f>Drivers!D$14*(1+Inputs!$B$37)^Drivers!D$16</f>
        <v/>
      </c>
      <c r="E26" s="3">
        <f>Drivers!E$14*(1+Inputs!$B$37)^Drivers!E$16</f>
        <v/>
      </c>
      <c r="F26" s="3">
        <f>Drivers!F$14*(1+Inputs!$B$37)^Drivers!F$16</f>
        <v/>
      </c>
      <c r="G26" s="3">
        <f>Drivers!G$14*(1+Inputs!$B$37)^Drivers!G$16</f>
        <v/>
      </c>
      <c r="H26" s="3">
        <f>Drivers!H$14*(1+Inputs!$B$37)^Drivers!H$16</f>
        <v/>
      </c>
      <c r="I26" s="3">
        <f>Drivers!I$14*(1+Inputs!$B$37)^Drivers!I$16</f>
        <v/>
      </c>
      <c r="J26" s="3">
        <f>Drivers!J$14*(1+Inputs!$B$37)^Drivers!J$16</f>
        <v/>
      </c>
      <c r="K26" s="3">
        <f>Drivers!K$14*(1+Inputs!$B$37)^Drivers!K$16</f>
        <v/>
      </c>
    </row>
    <row r="27">
      <c r="A27" t="inlineStr">
        <is>
          <t>IT licences</t>
        </is>
      </c>
      <c r="B27" s="3">
        <f>Inputs!$B$32*(1+Inputs!$B$37)^Drivers!B$16</f>
        <v/>
      </c>
      <c r="C27" s="3">
        <f>Inputs!$B$32*(1+Inputs!$B$37)^Drivers!C$16</f>
        <v/>
      </c>
      <c r="D27" s="3">
        <f>Inputs!$B$32*(1+Inputs!$B$37)^Drivers!D$16</f>
        <v/>
      </c>
      <c r="E27" s="3">
        <f>Inputs!$B$32*(1+Inputs!$B$37)^Drivers!E$16</f>
        <v/>
      </c>
      <c r="F27" s="3">
        <f>Inputs!$B$32*(1+Inputs!$B$37)^Drivers!F$16</f>
        <v/>
      </c>
      <c r="G27" s="3">
        <f>Inputs!$B$32*(1+Inputs!$B$37)^Drivers!G$16</f>
        <v/>
      </c>
      <c r="H27" s="3">
        <f>Inputs!$B$32*(1+Inputs!$B$37)^Drivers!H$16</f>
        <v/>
      </c>
      <c r="I27" s="3">
        <f>Inputs!$B$32*(1+Inputs!$B$37)^Drivers!I$16</f>
        <v/>
      </c>
      <c r="J27" s="3">
        <f>Inputs!$B$32*(1+Inputs!$B$37)^Drivers!J$16</f>
        <v/>
      </c>
      <c r="K27" s="3">
        <f>Inputs!$B$32*(1+Inputs!$B$37)^Drivers!K$16</f>
        <v/>
      </c>
    </row>
    <row r="28">
      <c r="A28" t="inlineStr">
        <is>
          <t>General and admin</t>
        </is>
      </c>
      <c r="B28" s="3">
        <f>(Inputs!$B$33+Inputs!$B$34)*(1+Inputs!$B$37)^Drivers!B$16</f>
        <v/>
      </c>
      <c r="C28" s="3">
        <f>(Inputs!$B$33+Inputs!$B$34)*(1+Inputs!$B$37)^Drivers!C$16</f>
        <v/>
      </c>
      <c r="D28" s="3">
        <f>(Inputs!$B$33+Inputs!$B$34)*(1+Inputs!$B$37)^Drivers!D$16</f>
        <v/>
      </c>
      <c r="E28" s="3">
        <f>(Inputs!$B$33+Inputs!$B$34)*(1+Inputs!$B$37)^Drivers!E$16</f>
        <v/>
      </c>
      <c r="F28" s="3">
        <f>(Inputs!$B$33+Inputs!$B$34)*(1+Inputs!$B$37)^Drivers!F$16</f>
        <v/>
      </c>
      <c r="G28" s="3">
        <f>(Inputs!$B$33+Inputs!$B$34)*(1+Inputs!$B$37)^Drivers!G$16</f>
        <v/>
      </c>
      <c r="H28" s="3">
        <f>(Inputs!$B$33+Inputs!$B$34)*(1+Inputs!$B$37)^Drivers!H$16</f>
        <v/>
      </c>
      <c r="I28" s="3">
        <f>(Inputs!$B$33+Inputs!$B$34)*(1+Inputs!$B$37)^Drivers!I$16</f>
        <v/>
      </c>
      <c r="J28" s="3">
        <f>(Inputs!$B$33+Inputs!$B$34)*(1+Inputs!$B$37)^Drivers!J$16</f>
        <v/>
      </c>
      <c r="K28" s="3">
        <f>(Inputs!$B$33+Inputs!$B$34)*(1+Inputs!$B$37)^Drivers!K$16</f>
        <v/>
      </c>
    </row>
    <row r="29">
      <c r="A29" t="inlineStr">
        <is>
          <t>Licence fees</t>
        </is>
      </c>
      <c r="B29" s="3">
        <f>Inputs!$B$35*(1+Inputs!$B$37)^Drivers!B$16</f>
        <v/>
      </c>
      <c r="C29" s="3">
        <f>Inputs!$B$35*(1+Inputs!$B$37)^Drivers!C$16</f>
        <v/>
      </c>
      <c r="D29" s="3">
        <f>Inputs!$B$35*(1+Inputs!$B$37)^Drivers!D$16</f>
        <v/>
      </c>
      <c r="E29" s="3">
        <f>Inputs!$B$35*(1+Inputs!$B$37)^Drivers!E$16</f>
        <v/>
      </c>
      <c r="F29" s="3">
        <f>Inputs!$B$35*(1+Inputs!$B$37)^Drivers!F$16</f>
        <v/>
      </c>
      <c r="G29" s="3">
        <f>Inputs!$B$35*(1+Inputs!$B$37)^Drivers!G$16</f>
        <v/>
      </c>
      <c r="H29" s="3">
        <f>Inputs!$B$35*(1+Inputs!$B$37)^Drivers!H$16</f>
        <v/>
      </c>
      <c r="I29" s="3">
        <f>Inputs!$B$35*(1+Inputs!$B$37)^Drivers!I$16</f>
        <v/>
      </c>
      <c r="J29" s="3">
        <f>Inputs!$B$35*(1+Inputs!$B$37)^Drivers!J$16</f>
        <v/>
      </c>
      <c r="K29" s="3">
        <f>Inputs!$B$35*(1+Inputs!$B$37)^Drivers!K$16</f>
        <v/>
      </c>
    </row>
    <row r="30">
      <c r="A30" t="inlineStr">
        <is>
          <t>Maintenance</t>
        </is>
      </c>
      <c r="B30" s="3">
        <f>(Capex!$B$24*Drivers!B$15+Capex!$B$22*Inputs!$B$36)*(1+Inputs!$B$37)^Drivers!B$16</f>
        <v/>
      </c>
      <c r="C30" s="3">
        <f>(Capex!$B$24*Drivers!C$15+Capex!$B$22*Inputs!$B$36)*(1+Inputs!$B$37)^Drivers!C$16</f>
        <v/>
      </c>
      <c r="D30" s="3">
        <f>(Capex!$B$24*Drivers!D$15+Capex!$B$22*Inputs!$B$36)*(1+Inputs!$B$37)^Drivers!D$16</f>
        <v/>
      </c>
      <c r="E30" s="3">
        <f>(Capex!$B$24*Drivers!E$15+Capex!$B$22*Inputs!$B$36)*(1+Inputs!$B$37)^Drivers!E$16</f>
        <v/>
      </c>
      <c r="F30" s="3">
        <f>(Capex!$B$24*Drivers!F$15+Capex!$B$22*Inputs!$B$36)*(1+Inputs!$B$37)^Drivers!F$16</f>
        <v/>
      </c>
      <c r="G30" s="3">
        <f>(Capex!$B$24*Drivers!G$15+Capex!$B$22*Inputs!$B$36)*(1+Inputs!$B$37)^Drivers!G$16</f>
        <v/>
      </c>
      <c r="H30" s="3">
        <f>(Capex!$B$24*Drivers!H$15+Capex!$B$22*Inputs!$B$36)*(1+Inputs!$B$37)^Drivers!H$16</f>
        <v/>
      </c>
      <c r="I30" s="3">
        <f>(Capex!$B$24*Drivers!I$15+Capex!$B$22*Inputs!$B$36)*(1+Inputs!$B$37)^Drivers!I$16</f>
        <v/>
      </c>
      <c r="J30" s="3">
        <f>(Capex!$B$24*Drivers!J$15+Capex!$B$22*Inputs!$B$36)*(1+Inputs!$B$37)^Drivers!J$16</f>
        <v/>
      </c>
      <c r="K30" s="3">
        <f>(Capex!$B$24*Drivers!K$15+Capex!$B$22*Inputs!$B$36)*(1+Inputs!$B$37)^Drivers!K$16</f>
        <v/>
      </c>
    </row>
    <row r="31">
      <c r="A31" t="inlineStr">
        <is>
          <t>Bad debts</t>
        </is>
      </c>
      <c r="B31" s="3">
        <f>B17*Inputs!$B$20</f>
        <v/>
      </c>
      <c r="C31" s="3">
        <f>C17*Inputs!$B$20</f>
        <v/>
      </c>
      <c r="D31" s="3">
        <f>D17*Inputs!$B$20</f>
        <v/>
      </c>
      <c r="E31" s="3">
        <f>E17*Inputs!$B$20</f>
        <v/>
      </c>
      <c r="F31" s="3">
        <f>F17*Inputs!$B$20</f>
        <v/>
      </c>
      <c r="G31" s="3">
        <f>G17*Inputs!$B$20</f>
        <v/>
      </c>
      <c r="H31" s="3">
        <f>H17*Inputs!$B$20</f>
        <v/>
      </c>
      <c r="I31" s="3">
        <f>I17*Inputs!$B$20</f>
        <v/>
      </c>
      <c r="J31" s="3">
        <f>J17*Inputs!$B$20</f>
        <v/>
      </c>
      <c r="K31" s="3">
        <f>K17*Inputs!$B$20</f>
        <v/>
      </c>
    </row>
    <row r="32">
      <c r="A32" s="1" t="inlineStr">
        <is>
          <t>TOTAL OPEX</t>
        </is>
      </c>
      <c r="B32" s="3">
        <f>SUM(B18:B31)</f>
        <v/>
      </c>
      <c r="C32" s="3">
        <f>SUM(C18:C31)</f>
        <v/>
      </c>
      <c r="D32" s="3">
        <f>SUM(D18:D31)</f>
        <v/>
      </c>
      <c r="E32" s="3">
        <f>SUM(E18:E31)</f>
        <v/>
      </c>
      <c r="F32" s="3">
        <f>SUM(F18:F31)</f>
        <v/>
      </c>
      <c r="G32" s="3">
        <f>SUM(G18:G31)</f>
        <v/>
      </c>
      <c r="H32" s="3">
        <f>SUM(H18:H31)</f>
        <v/>
      </c>
      <c r="I32" s="3">
        <f>SUM(I18:I31)</f>
        <v/>
      </c>
      <c r="J32" s="3">
        <f>SUM(J18:J31)</f>
        <v/>
      </c>
      <c r="K32" s="3">
        <f>SUM(K18:K31)</f>
        <v/>
      </c>
    </row>
    <row r="33">
      <c r="A33" s="1" t="inlineStr">
        <is>
          <t>EBITDA</t>
        </is>
      </c>
      <c r="B33" s="3">
        <f>B17-B32</f>
        <v/>
      </c>
      <c r="C33" s="3">
        <f>C17-C32</f>
        <v/>
      </c>
      <c r="D33" s="3">
        <f>D17-D32</f>
        <v/>
      </c>
      <c r="E33" s="3">
        <f>E17-E32</f>
        <v/>
      </c>
      <c r="F33" s="3">
        <f>F17-F32</f>
        <v/>
      </c>
      <c r="G33" s="3">
        <f>G17-G32</f>
        <v/>
      </c>
      <c r="H33" s="3">
        <f>H17-H32</f>
        <v/>
      </c>
      <c r="I33" s="3">
        <f>I17-I32</f>
        <v/>
      </c>
      <c r="J33" s="3">
        <f>J17-J32</f>
        <v/>
      </c>
      <c r="K33" s="3">
        <f>K17-K32</f>
        <v/>
      </c>
    </row>
    <row r="34">
      <c r="A34" t="inlineStr">
        <is>
          <t>EBITDA margin</t>
        </is>
      </c>
      <c r="B34" s="4">
        <f>B33/B17</f>
        <v/>
      </c>
      <c r="C34" s="4">
        <f>C33/C17</f>
        <v/>
      </c>
      <c r="D34" s="4">
        <f>D33/D17</f>
        <v/>
      </c>
      <c r="E34" s="4">
        <f>E33/E17</f>
        <v/>
      </c>
      <c r="F34" s="4">
        <f>F33/F17</f>
        <v/>
      </c>
      <c r="G34" s="4">
        <f>G33/G17</f>
        <v/>
      </c>
      <c r="H34" s="4">
        <f>H33/H17</f>
        <v/>
      </c>
      <c r="I34" s="4">
        <f>I33/I17</f>
        <v/>
      </c>
      <c r="J34" s="4">
        <f>J33/J17</f>
        <v/>
      </c>
      <c r="K34" s="4">
        <f>K33/K17</f>
        <v/>
      </c>
    </row>
    <row r="35">
      <c r="A35" t="inlineStr">
        <is>
          <t>Maintenance capex</t>
        </is>
      </c>
      <c r="B35" s="3">
        <f>0</f>
        <v/>
      </c>
      <c r="C35" s="3">
        <f>0</f>
        <v/>
      </c>
      <c r="D35" s="3">
        <f>D17*Inputs!$B$38</f>
        <v/>
      </c>
      <c r="E35" s="3">
        <f>E17*Inputs!$B$38</f>
        <v/>
      </c>
      <c r="F35" s="3">
        <f>F17*Inputs!$B$38</f>
        <v/>
      </c>
      <c r="G35" s="3">
        <f>G17*Inputs!$B$38</f>
        <v/>
      </c>
      <c r="H35" s="3">
        <f>H17*Inputs!$B$38</f>
        <v/>
      </c>
      <c r="I35" s="3">
        <f>I17*Inputs!$B$38</f>
        <v/>
      </c>
      <c r="J35" s="3">
        <f>J17*Inputs!$B$38</f>
        <v/>
      </c>
      <c r="K35" s="3">
        <f>K17*Inputs!$B$38</f>
        <v/>
      </c>
    </row>
    <row r="36">
      <c r="A36" t="inlineStr">
        <is>
          <t>Depreciation and amortisation</t>
        </is>
      </c>
      <c r="B36" s="3">
        <f>IF(0&lt;Capex!$C$22,Capex!$B$22/Capex!$C$22,0)+IF(0&lt;Capex!$C$23,Capex!$B$23/Capex!$C$23,0)+IF(0&lt;Capex!$C$24,Capex!$B$24/Capex!$C$24,0)+IF(0&lt;Capex!$C$25,Capex!$B$25/Capex!$C$25,0)+IF(0&lt;Capex!$C$26,Capex!$B$26/Capex!$C$26,0)+IF(0&lt;Capex!$C$27,Capex!$B$27/Capex!$C$27,0)</f>
        <v/>
      </c>
      <c r="C36" s="3">
        <f>IF(1&lt;Capex!$C$22,Capex!$B$22/Capex!$C$22,0)+IF(1&lt;Capex!$C$23,Capex!$B$23/Capex!$C$23,0)+IF(1&lt;Capex!$C$24,Capex!$B$24/Capex!$C$24,0)+IF(1&lt;Capex!$C$25,Capex!$B$25/Capex!$C$25,0)+IF(1&lt;Capex!$C$26,Capex!$B$26/Capex!$C$26,0)+IF(1&lt;Capex!$C$27,Capex!$B$27/Capex!$C$27,0)+SUM(B35:B35)/8</f>
        <v/>
      </c>
      <c r="D36" s="3">
        <f>IF(2&lt;Capex!$C$22,Capex!$B$22/Capex!$C$22,0)+IF(2&lt;Capex!$C$23,Capex!$B$23/Capex!$C$23,0)+IF(2&lt;Capex!$C$24,Capex!$B$24/Capex!$C$24,0)+IF(2&lt;Capex!$C$25,Capex!$B$25/Capex!$C$25,0)+IF(2&lt;Capex!$C$26,Capex!$B$26/Capex!$C$26,0)+IF(2&lt;Capex!$C$27,Capex!$B$27/Capex!$C$27,0)+SUM(B35:C35)/8</f>
        <v/>
      </c>
      <c r="E36" s="3">
        <f>IF(3&lt;Capex!$C$22,Capex!$B$22/Capex!$C$22,0)+IF(3&lt;Capex!$C$23,Capex!$B$23/Capex!$C$23,0)+IF(3&lt;Capex!$C$24,Capex!$B$24/Capex!$C$24,0)+IF(3&lt;Capex!$C$25,Capex!$B$25/Capex!$C$25,0)+IF(3&lt;Capex!$C$26,Capex!$B$26/Capex!$C$26,0)+IF(3&lt;Capex!$C$27,Capex!$B$27/Capex!$C$27,0)+SUM(B35:D35)/8</f>
        <v/>
      </c>
      <c r="F36" s="3">
        <f>IF(4&lt;Capex!$C$22,Capex!$B$22/Capex!$C$22,0)+IF(4&lt;Capex!$C$23,Capex!$B$23/Capex!$C$23,0)+IF(4&lt;Capex!$C$24,Capex!$B$24/Capex!$C$24,0)+IF(4&lt;Capex!$C$25,Capex!$B$25/Capex!$C$25,0)+IF(4&lt;Capex!$C$26,Capex!$B$26/Capex!$C$26,0)+IF(4&lt;Capex!$C$27,Capex!$B$27/Capex!$C$27,0)+SUM(B35:E35)/8</f>
        <v/>
      </c>
      <c r="G36" s="3">
        <f>IF(5&lt;Capex!$C$22,Capex!$B$22/Capex!$C$22,0)+IF(5&lt;Capex!$C$23,Capex!$B$23/Capex!$C$23,0)+IF(5&lt;Capex!$C$24,Capex!$B$24/Capex!$C$24,0)+IF(5&lt;Capex!$C$25,Capex!$B$25/Capex!$C$25,0)+IF(5&lt;Capex!$C$26,Capex!$B$26/Capex!$C$26,0)+IF(5&lt;Capex!$C$27,Capex!$B$27/Capex!$C$27,0)+SUM(B35:F35)/8</f>
        <v/>
      </c>
      <c r="H36" s="3">
        <f>IF(6&lt;Capex!$C$22,Capex!$B$22/Capex!$C$22,0)+IF(6&lt;Capex!$C$23,Capex!$B$23/Capex!$C$23,0)+IF(6&lt;Capex!$C$24,Capex!$B$24/Capex!$C$24,0)+IF(6&lt;Capex!$C$25,Capex!$B$25/Capex!$C$25,0)+IF(6&lt;Capex!$C$26,Capex!$B$26/Capex!$C$26,0)+IF(6&lt;Capex!$C$27,Capex!$B$27/Capex!$C$27,0)+SUM(B35:G35)/8</f>
        <v/>
      </c>
      <c r="I36" s="3">
        <f>IF(7&lt;Capex!$C$22,Capex!$B$22/Capex!$C$22,0)+IF(7&lt;Capex!$C$23,Capex!$B$23/Capex!$C$23,0)+IF(7&lt;Capex!$C$24,Capex!$B$24/Capex!$C$24,0)+IF(7&lt;Capex!$C$25,Capex!$B$25/Capex!$C$25,0)+IF(7&lt;Capex!$C$26,Capex!$B$26/Capex!$C$26,0)+IF(7&lt;Capex!$C$27,Capex!$B$27/Capex!$C$27,0)+SUM(B35:H35)/8</f>
        <v/>
      </c>
      <c r="J36" s="3">
        <f>IF(8&lt;Capex!$C$22,Capex!$B$22/Capex!$C$22,0)+IF(8&lt;Capex!$C$23,Capex!$B$23/Capex!$C$23,0)+IF(8&lt;Capex!$C$24,Capex!$B$24/Capex!$C$24,0)+IF(8&lt;Capex!$C$25,Capex!$B$25/Capex!$C$25,0)+IF(8&lt;Capex!$C$26,Capex!$B$26/Capex!$C$26,0)+IF(8&lt;Capex!$C$27,Capex!$B$27/Capex!$C$27,0)+SUM(B35:I35)/8</f>
        <v/>
      </c>
      <c r="K36" s="3">
        <f>IF(9&lt;Capex!$C$22,Capex!$B$22/Capex!$C$22,0)+IF(9&lt;Capex!$C$23,Capex!$B$23/Capex!$C$23,0)+IF(9&lt;Capex!$C$24,Capex!$B$24/Capex!$C$24,0)+IF(9&lt;Capex!$C$25,Capex!$B$25/Capex!$C$25,0)+IF(9&lt;Capex!$C$26,Capex!$B$26/Capex!$C$26,0)+IF(9&lt;Capex!$C$27,Capex!$B$27/Capex!$C$27,0)+SUM(C35:J35)/8</f>
        <v/>
      </c>
    </row>
    <row r="37">
      <c r="A37" t="inlineStr">
        <is>
          <t>Interest</t>
        </is>
      </c>
      <c r="B37" s="3">
        <f>Debt!C6+Debt!C14+Debt!C22</f>
        <v/>
      </c>
      <c r="C37" s="3">
        <f>Debt!D6+Debt!D14+Debt!D22</f>
        <v/>
      </c>
      <c r="D37" s="3">
        <f>Debt!E6+Debt!E14+Debt!E22</f>
        <v/>
      </c>
      <c r="E37" s="3">
        <f>Debt!F6+Debt!F14+Debt!F22</f>
        <v/>
      </c>
      <c r="F37" s="3">
        <f>Debt!G6+Debt!G14+Debt!G22</f>
        <v/>
      </c>
      <c r="G37" s="3">
        <f>Debt!H6+Debt!H14+Debt!H22</f>
        <v/>
      </c>
      <c r="H37" s="3">
        <f>Debt!I6+Debt!I14+Debt!I22</f>
        <v/>
      </c>
      <c r="I37" s="3">
        <f>Debt!J6+Debt!J14+Debt!J22</f>
        <v/>
      </c>
      <c r="J37" s="3">
        <f>Debt!K6+Debt!K14+Debt!K22</f>
        <v/>
      </c>
      <c r="K37" s="3">
        <f>Debt!L6+Debt!L14+Debt!L22</f>
        <v/>
      </c>
    </row>
    <row r="38">
      <c r="A38" s="1" t="inlineStr">
        <is>
          <t>Profit before tax</t>
        </is>
      </c>
      <c r="B38" s="3">
        <f>B33-B36-B37</f>
        <v/>
      </c>
      <c r="C38" s="3">
        <f>C33-C36-C37</f>
        <v/>
      </c>
      <c r="D38" s="3">
        <f>D33-D36-D37</f>
        <v/>
      </c>
      <c r="E38" s="3">
        <f>E33-E36-E37</f>
        <v/>
      </c>
      <c r="F38" s="3">
        <f>F33-F36-F37</f>
        <v/>
      </c>
      <c r="G38" s="3">
        <f>G33-G36-G37</f>
        <v/>
      </c>
      <c r="H38" s="3">
        <f>H33-H36-H37</f>
        <v/>
      </c>
      <c r="I38" s="3">
        <f>I33-I36-I37</f>
        <v/>
      </c>
      <c r="J38" s="3">
        <f>J33-J36-J37</f>
        <v/>
      </c>
      <c r="K38" s="3">
        <f>K33-K36-K37</f>
        <v/>
      </c>
    </row>
    <row r="39">
      <c r="A39" t="inlineStr">
        <is>
          <t>Loss brought forward</t>
        </is>
      </c>
      <c r="B39" s="3">
        <f>0</f>
        <v/>
      </c>
      <c r="C39" s="3">
        <f>MIN(B38+B39,0)</f>
        <v/>
      </c>
      <c r="D39" s="3">
        <f>MIN(C38+C39,0)</f>
        <v/>
      </c>
      <c r="E39" s="3">
        <f>MIN(D38+D39,0)</f>
        <v/>
      </c>
      <c r="F39" s="3">
        <f>MIN(E38+E39,0)</f>
        <v/>
      </c>
      <c r="G39" s="3">
        <f>MIN(F38+F39,0)</f>
        <v/>
      </c>
      <c r="H39" s="3">
        <f>MIN(G38+G39,0)</f>
        <v/>
      </c>
      <c r="I39" s="3">
        <f>MIN(H38+H39,0)</f>
        <v/>
      </c>
      <c r="J39" s="3">
        <f>MIN(I38+I39,0)</f>
        <v/>
      </c>
      <c r="K39" s="3">
        <f>MIN(J38+J39,0)</f>
        <v/>
      </c>
    </row>
    <row r="40">
      <c r="A40" t="inlineStr">
        <is>
          <t>Income tax</t>
        </is>
      </c>
      <c r="B40" s="3">
        <f>MAX(B38+B39,0)*Inputs!$B$42*IF(Drivers!B$16&lt;Inputs!$B$44,1-Inputs!$B$43,1)</f>
        <v/>
      </c>
      <c r="C40" s="3">
        <f>MAX(C38+C39,0)*Inputs!$B$42*IF(Drivers!C$16&lt;Inputs!$B$44,1-Inputs!$B$43,1)</f>
        <v/>
      </c>
      <c r="D40" s="3">
        <f>MAX(D38+D39,0)*Inputs!$B$42*IF(Drivers!D$16&lt;Inputs!$B$44,1-Inputs!$B$43,1)</f>
        <v/>
      </c>
      <c r="E40" s="3">
        <f>MAX(E38+E39,0)*Inputs!$B$42*IF(Drivers!E$16&lt;Inputs!$B$44,1-Inputs!$B$43,1)</f>
        <v/>
      </c>
      <c r="F40" s="3">
        <f>MAX(F38+F39,0)*Inputs!$B$42*IF(Drivers!F$16&lt;Inputs!$B$44,1-Inputs!$B$43,1)</f>
        <v/>
      </c>
      <c r="G40" s="3">
        <f>MAX(G38+G39,0)*Inputs!$B$42*IF(Drivers!G$16&lt;Inputs!$B$44,1-Inputs!$B$43,1)</f>
        <v/>
      </c>
      <c r="H40" s="3">
        <f>MAX(H38+H39,0)*Inputs!$B$42*IF(Drivers!H$16&lt;Inputs!$B$44,1-Inputs!$B$43,1)</f>
        <v/>
      </c>
      <c r="I40" s="3">
        <f>MAX(I38+I39,0)*Inputs!$B$42*IF(Drivers!I$16&lt;Inputs!$B$44,1-Inputs!$B$43,1)</f>
        <v/>
      </c>
      <c r="J40" s="3">
        <f>MAX(J38+J39,0)*Inputs!$B$42*IF(Drivers!J$16&lt;Inputs!$B$44,1-Inputs!$B$43,1)</f>
        <v/>
      </c>
      <c r="K40" s="3">
        <f>MAX(K38+K39,0)*Inputs!$B$42*IF(Drivers!K$16&lt;Inputs!$B$44,1-Inputs!$B$43,1)</f>
        <v/>
      </c>
    </row>
    <row r="41">
      <c r="A41" s="1" t="inlineStr">
        <is>
          <t>NET INCOME</t>
        </is>
      </c>
      <c r="B41" s="3">
        <f>B38-B40</f>
        <v/>
      </c>
      <c r="C41" s="3">
        <f>C38-C40</f>
        <v/>
      </c>
      <c r="D41" s="3">
        <f>D38-D40</f>
        <v/>
      </c>
      <c r="E41" s="3">
        <f>E38-E40</f>
        <v/>
      </c>
      <c r="F41" s="3">
        <f>F38-F40</f>
        <v/>
      </c>
      <c r="G41" s="3">
        <f>G38-G40</f>
        <v/>
      </c>
      <c r="H41" s="3">
        <f>H38-H40</f>
        <v/>
      </c>
      <c r="I41" s="3">
        <f>I38-I40</f>
        <v/>
      </c>
      <c r="J41" s="3">
        <f>J38-J40</f>
        <v/>
      </c>
      <c r="K41" s="3">
        <f>K38-K40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Debt schedules (annual; T1/T2 drawn mid-2028, grace from draw year; T3 lease from 2029)</t>
        </is>
      </c>
    </row>
    <row r="2">
      <c r="A2" s="1" t="inlineStr">
        <is>
          <t>T1 CBJ economic-sectors programme</t>
        </is>
      </c>
      <c r="B2" s="1" t="n">
        <v>2028</v>
      </c>
      <c r="C2" s="1" t="n">
        <v>2029</v>
      </c>
      <c r="D2" s="1" t="n">
        <v>2030</v>
      </c>
      <c r="E2" s="1" t="n">
        <v>2031</v>
      </c>
      <c r="F2" s="1" t="n">
        <v>2032</v>
      </c>
      <c r="G2" s="1" t="n">
        <v>2033</v>
      </c>
      <c r="H2" s="1" t="n">
        <v>2034</v>
      </c>
      <c r="I2" s="1" t="n">
        <v>2035</v>
      </c>
      <c r="J2" s="1" t="n">
        <v>2036</v>
      </c>
      <c r="K2" s="1" t="n">
        <v>2037</v>
      </c>
      <c r="L2" s="1" t="n">
        <v>2038</v>
      </c>
    </row>
    <row r="3">
      <c r="A3" t="inlineStr">
        <is>
          <t>Opening balance</t>
        </is>
      </c>
      <c r="B3" s="3">
        <f>0</f>
        <v/>
      </c>
      <c r="C3" s="3">
        <f>B8</f>
        <v/>
      </c>
      <c r="D3" s="3">
        <f>C8</f>
        <v/>
      </c>
      <c r="E3" s="3">
        <f>D8</f>
        <v/>
      </c>
      <c r="F3" s="3">
        <f>E8</f>
        <v/>
      </c>
      <c r="G3" s="3">
        <f>F8</f>
        <v/>
      </c>
      <c r="H3" s="3">
        <f>G8</f>
        <v/>
      </c>
      <c r="I3" s="3">
        <f>H8</f>
        <v/>
      </c>
      <c r="J3" s="3">
        <f>I8</f>
        <v/>
      </c>
      <c r="K3" s="3">
        <f>J8</f>
        <v/>
      </c>
      <c r="L3" s="3">
        <f>K8</f>
        <v/>
      </c>
    </row>
    <row r="4">
      <c r="A4" t="inlineStr">
        <is>
          <t>Drawdown</t>
        </is>
      </c>
      <c r="B4" s="3">
        <f>Inputs!$B$47</f>
        <v/>
      </c>
      <c r="C4" s="3">
        <f>0</f>
        <v/>
      </c>
      <c r="D4" s="3">
        <f>0</f>
        <v/>
      </c>
      <c r="E4" s="3">
        <f>0</f>
        <v/>
      </c>
      <c r="F4" s="3">
        <f>0</f>
        <v/>
      </c>
      <c r="G4" s="3">
        <f>0</f>
        <v/>
      </c>
      <c r="H4" s="3">
        <f>0</f>
        <v/>
      </c>
      <c r="I4" s="3">
        <f>0</f>
        <v/>
      </c>
      <c r="J4" s="3">
        <f>0</f>
        <v/>
      </c>
      <c r="K4" s="3">
        <f>0</f>
        <v/>
      </c>
      <c r="L4" s="3">
        <f>0</f>
        <v/>
      </c>
    </row>
    <row r="5">
      <c r="A5" t="inlineStr">
        <is>
          <t>Installment</t>
        </is>
      </c>
      <c r="B5" s="3">
        <f>0</f>
        <v/>
      </c>
      <c r="C5" s="3">
        <f>IF(AND(1&gt;=Inputs!$B$49,1&lt;Inputs!$B$49+Inputs!$B$50),PMT(Inputs!$B$48,Inputs!$B$50,-Inputs!$B$47),0)</f>
        <v/>
      </c>
      <c r="D5" s="3">
        <f>IF(AND(2&gt;=Inputs!$B$49,2&lt;Inputs!$B$49+Inputs!$B$50),PMT(Inputs!$B$48,Inputs!$B$50,-Inputs!$B$47),0)</f>
        <v/>
      </c>
      <c r="E5" s="3">
        <f>IF(AND(3&gt;=Inputs!$B$49,3&lt;Inputs!$B$49+Inputs!$B$50),PMT(Inputs!$B$48,Inputs!$B$50,-Inputs!$B$47),0)</f>
        <v/>
      </c>
      <c r="F5" s="3">
        <f>IF(AND(4&gt;=Inputs!$B$49,4&lt;Inputs!$B$49+Inputs!$B$50),PMT(Inputs!$B$48,Inputs!$B$50,-Inputs!$B$47),0)</f>
        <v/>
      </c>
      <c r="G5" s="3">
        <f>IF(AND(5&gt;=Inputs!$B$49,5&lt;Inputs!$B$49+Inputs!$B$50),PMT(Inputs!$B$48,Inputs!$B$50,-Inputs!$B$47),0)</f>
        <v/>
      </c>
      <c r="H5" s="3">
        <f>IF(AND(6&gt;=Inputs!$B$49,6&lt;Inputs!$B$49+Inputs!$B$50),PMT(Inputs!$B$48,Inputs!$B$50,-Inputs!$B$47),0)</f>
        <v/>
      </c>
      <c r="I5" s="3">
        <f>IF(AND(7&gt;=Inputs!$B$49,7&lt;Inputs!$B$49+Inputs!$B$50),PMT(Inputs!$B$48,Inputs!$B$50,-Inputs!$B$47),0)</f>
        <v/>
      </c>
      <c r="J5" s="3">
        <f>IF(AND(8&gt;=Inputs!$B$49,8&lt;Inputs!$B$49+Inputs!$B$50),PMT(Inputs!$B$48,Inputs!$B$50,-Inputs!$B$47),0)</f>
        <v/>
      </c>
      <c r="K5" s="3">
        <f>IF(AND(9&gt;=Inputs!$B$49,9&lt;Inputs!$B$49+Inputs!$B$50),PMT(Inputs!$B$48,Inputs!$B$50,-Inputs!$B$47),0)</f>
        <v/>
      </c>
      <c r="L5" s="3">
        <f>IF(AND(10&gt;=Inputs!$B$49,10&lt;Inputs!$B$49+Inputs!$B$50),PMT(Inputs!$B$48,Inputs!$B$50,-Inputs!$B$47),0)</f>
        <v/>
      </c>
    </row>
    <row r="6">
      <c r="A6" t="inlineStr">
        <is>
          <t>Interest</t>
        </is>
      </c>
      <c r="B6" s="3">
        <f>B4*Inputs!$B$48*0.5</f>
        <v/>
      </c>
      <c r="C6" s="3">
        <f>C3*Inputs!$B$48</f>
        <v/>
      </c>
      <c r="D6" s="3">
        <f>D3*Inputs!$B$48</f>
        <v/>
      </c>
      <c r="E6" s="3">
        <f>E3*Inputs!$B$48</f>
        <v/>
      </c>
      <c r="F6" s="3">
        <f>F3*Inputs!$B$48</f>
        <v/>
      </c>
      <c r="G6" s="3">
        <f>G3*Inputs!$B$48</f>
        <v/>
      </c>
      <c r="H6" s="3">
        <f>H3*Inputs!$B$48</f>
        <v/>
      </c>
      <c r="I6" s="3">
        <f>I3*Inputs!$B$48</f>
        <v/>
      </c>
      <c r="J6" s="3">
        <f>J3*Inputs!$B$48</f>
        <v/>
      </c>
      <c r="K6" s="3">
        <f>K3*Inputs!$B$48</f>
        <v/>
      </c>
      <c r="L6" s="3">
        <f>L3*Inputs!$B$48</f>
        <v/>
      </c>
    </row>
    <row r="7">
      <c r="A7" t="inlineStr">
        <is>
          <t>Principal</t>
        </is>
      </c>
      <c r="B7" s="3">
        <f>IF(B5&gt;0,B5-B6,0)</f>
        <v/>
      </c>
      <c r="C7" s="3">
        <f>IF(C5&gt;0,C5-C6,0)</f>
        <v/>
      </c>
      <c r="D7" s="3">
        <f>IF(D5&gt;0,D5-D6,0)</f>
        <v/>
      </c>
      <c r="E7" s="3">
        <f>IF(E5&gt;0,E5-E6,0)</f>
        <v/>
      </c>
      <c r="F7" s="3">
        <f>IF(F5&gt;0,F5-F6,0)</f>
        <v/>
      </c>
      <c r="G7" s="3">
        <f>IF(G5&gt;0,G5-G6,0)</f>
        <v/>
      </c>
      <c r="H7" s="3">
        <f>IF(H5&gt;0,H5-H6,0)</f>
        <v/>
      </c>
      <c r="I7" s="3">
        <f>IF(I5&gt;0,I5-I6,0)</f>
        <v/>
      </c>
      <c r="J7" s="3">
        <f>IF(J5&gt;0,J5-J6,0)</f>
        <v/>
      </c>
      <c r="K7" s="3">
        <f>IF(K5&gt;0,K5-K6,0)</f>
        <v/>
      </c>
      <c r="L7" s="3">
        <f>IF(L5&gt;0,L5-L6,0)</f>
        <v/>
      </c>
    </row>
    <row r="8">
      <c r="A8" t="inlineStr">
        <is>
          <t>Closing balance</t>
        </is>
      </c>
      <c r="B8" s="3">
        <f>B3+B4-B7</f>
        <v/>
      </c>
      <c r="C8" s="3">
        <f>C3+C4-C7</f>
        <v/>
      </c>
      <c r="D8" s="3">
        <f>D3+D4-D7</f>
        <v/>
      </c>
      <c r="E8" s="3">
        <f>E3+E4-E7</f>
        <v/>
      </c>
      <c r="F8" s="3">
        <f>F3+F4-F7</f>
        <v/>
      </c>
      <c r="G8" s="3">
        <f>G3+G4-G7</f>
        <v/>
      </c>
      <c r="H8" s="3">
        <f>H3+H4-H7</f>
        <v/>
      </c>
      <c r="I8" s="3">
        <f>I3+I4-I7</f>
        <v/>
      </c>
      <c r="J8" s="3">
        <f>J3+J4-J7</f>
        <v/>
      </c>
      <c r="K8" s="3">
        <f>K3+K4-K7</f>
        <v/>
      </c>
      <c r="L8" s="3">
        <f>L3+L4-L7</f>
        <v/>
      </c>
    </row>
    <row r="10">
      <c r="A10" s="1" t="inlineStr">
        <is>
          <t>T2 Islamic / commercial</t>
        </is>
      </c>
      <c r="B10" s="1" t="n">
        <v>2028</v>
      </c>
      <c r="C10" s="1" t="n">
        <v>2029</v>
      </c>
      <c r="D10" s="1" t="n">
        <v>2030</v>
      </c>
      <c r="E10" s="1" t="n">
        <v>2031</v>
      </c>
      <c r="F10" s="1" t="n">
        <v>2032</v>
      </c>
      <c r="G10" s="1" t="n">
        <v>2033</v>
      </c>
      <c r="H10" s="1" t="n">
        <v>2034</v>
      </c>
      <c r="I10" s="1" t="n">
        <v>2035</v>
      </c>
      <c r="J10" s="1" t="n">
        <v>2036</v>
      </c>
      <c r="K10" s="1" t="n">
        <v>2037</v>
      </c>
      <c r="L10" s="1" t="n">
        <v>2038</v>
      </c>
    </row>
    <row r="11">
      <c r="A11" t="inlineStr">
        <is>
          <t>Opening balance</t>
        </is>
      </c>
      <c r="B11" s="3">
        <f>0</f>
        <v/>
      </c>
      <c r="C11" s="3">
        <f>B16</f>
        <v/>
      </c>
      <c r="D11" s="3">
        <f>C16</f>
        <v/>
      </c>
      <c r="E11" s="3">
        <f>D16</f>
        <v/>
      </c>
      <c r="F11" s="3">
        <f>E16</f>
        <v/>
      </c>
      <c r="G11" s="3">
        <f>F16</f>
        <v/>
      </c>
      <c r="H11" s="3">
        <f>G16</f>
        <v/>
      </c>
      <c r="I11" s="3">
        <f>H16</f>
        <v/>
      </c>
      <c r="J11" s="3">
        <f>I16</f>
        <v/>
      </c>
      <c r="K11" s="3">
        <f>J16</f>
        <v/>
      </c>
      <c r="L11" s="3">
        <f>K16</f>
        <v/>
      </c>
    </row>
    <row r="12">
      <c r="A12" t="inlineStr">
        <is>
          <t>Drawdown</t>
        </is>
      </c>
      <c r="B12" s="3">
        <f>Inputs!$B$51</f>
        <v/>
      </c>
      <c r="C12" s="3">
        <f>0</f>
        <v/>
      </c>
      <c r="D12" s="3">
        <f>0</f>
        <v/>
      </c>
      <c r="E12" s="3">
        <f>0</f>
        <v/>
      </c>
      <c r="F12" s="3">
        <f>0</f>
        <v/>
      </c>
      <c r="G12" s="3">
        <f>0</f>
        <v/>
      </c>
      <c r="H12" s="3">
        <f>0</f>
        <v/>
      </c>
      <c r="I12" s="3">
        <f>0</f>
        <v/>
      </c>
      <c r="J12" s="3">
        <f>0</f>
        <v/>
      </c>
      <c r="K12" s="3">
        <f>0</f>
        <v/>
      </c>
      <c r="L12" s="3">
        <f>0</f>
        <v/>
      </c>
    </row>
    <row r="13">
      <c r="A13" t="inlineStr">
        <is>
          <t>Installment</t>
        </is>
      </c>
      <c r="B13" s="3">
        <f>0</f>
        <v/>
      </c>
      <c r="C13" s="3">
        <f>IF(AND(1&gt;=Inputs!$B$53,1&lt;Inputs!$B$53+Inputs!$B$54),PMT(Inputs!$B$52,Inputs!$B$54,-Inputs!$B$51),0)</f>
        <v/>
      </c>
      <c r="D13" s="3">
        <f>IF(AND(2&gt;=Inputs!$B$53,2&lt;Inputs!$B$53+Inputs!$B$54),PMT(Inputs!$B$52,Inputs!$B$54,-Inputs!$B$51),0)</f>
        <v/>
      </c>
      <c r="E13" s="3">
        <f>IF(AND(3&gt;=Inputs!$B$53,3&lt;Inputs!$B$53+Inputs!$B$54),PMT(Inputs!$B$52,Inputs!$B$54,-Inputs!$B$51),0)</f>
        <v/>
      </c>
      <c r="F13" s="3">
        <f>IF(AND(4&gt;=Inputs!$B$53,4&lt;Inputs!$B$53+Inputs!$B$54),PMT(Inputs!$B$52,Inputs!$B$54,-Inputs!$B$51),0)</f>
        <v/>
      </c>
      <c r="G13" s="3">
        <f>IF(AND(5&gt;=Inputs!$B$53,5&lt;Inputs!$B$53+Inputs!$B$54),PMT(Inputs!$B$52,Inputs!$B$54,-Inputs!$B$51),0)</f>
        <v/>
      </c>
      <c r="H13" s="3">
        <f>IF(AND(6&gt;=Inputs!$B$53,6&lt;Inputs!$B$53+Inputs!$B$54),PMT(Inputs!$B$52,Inputs!$B$54,-Inputs!$B$51),0)</f>
        <v/>
      </c>
      <c r="I13" s="3">
        <f>IF(AND(7&gt;=Inputs!$B$53,7&lt;Inputs!$B$53+Inputs!$B$54),PMT(Inputs!$B$52,Inputs!$B$54,-Inputs!$B$51),0)</f>
        <v/>
      </c>
      <c r="J13" s="3">
        <f>IF(AND(8&gt;=Inputs!$B$53,8&lt;Inputs!$B$53+Inputs!$B$54),PMT(Inputs!$B$52,Inputs!$B$54,-Inputs!$B$51),0)</f>
        <v/>
      </c>
      <c r="K13" s="3">
        <f>IF(AND(9&gt;=Inputs!$B$53,9&lt;Inputs!$B$53+Inputs!$B$54),PMT(Inputs!$B$52,Inputs!$B$54,-Inputs!$B$51),0)</f>
        <v/>
      </c>
      <c r="L13" s="3">
        <f>IF(AND(10&gt;=Inputs!$B$53,10&lt;Inputs!$B$53+Inputs!$B$54),PMT(Inputs!$B$52,Inputs!$B$54,-Inputs!$B$51),0)</f>
        <v/>
      </c>
    </row>
    <row r="14">
      <c r="A14" t="inlineStr">
        <is>
          <t>Interest</t>
        </is>
      </c>
      <c r="B14" s="3">
        <f>B12*Inputs!$B$52*0.5</f>
        <v/>
      </c>
      <c r="C14" s="3">
        <f>C11*Inputs!$B$52</f>
        <v/>
      </c>
      <c r="D14" s="3">
        <f>D11*Inputs!$B$52</f>
        <v/>
      </c>
      <c r="E14" s="3">
        <f>E11*Inputs!$B$52</f>
        <v/>
      </c>
      <c r="F14" s="3">
        <f>F11*Inputs!$B$52</f>
        <v/>
      </c>
      <c r="G14" s="3">
        <f>G11*Inputs!$B$52</f>
        <v/>
      </c>
      <c r="H14" s="3">
        <f>H11*Inputs!$B$52</f>
        <v/>
      </c>
      <c r="I14" s="3">
        <f>I11*Inputs!$B$52</f>
        <v/>
      </c>
      <c r="J14" s="3">
        <f>J11*Inputs!$B$52</f>
        <v/>
      </c>
      <c r="K14" s="3">
        <f>K11*Inputs!$B$52</f>
        <v/>
      </c>
      <c r="L14" s="3">
        <f>L11*Inputs!$B$52</f>
        <v/>
      </c>
    </row>
    <row r="15">
      <c r="A15" t="inlineStr">
        <is>
          <t>Principal</t>
        </is>
      </c>
      <c r="B15" s="3">
        <f>IF(B13&gt;0,B13-B14,0)</f>
        <v/>
      </c>
      <c r="C15" s="3">
        <f>IF(C13&gt;0,C13-C14,0)</f>
        <v/>
      </c>
      <c r="D15" s="3">
        <f>IF(D13&gt;0,D13-D14,0)</f>
        <v/>
      </c>
      <c r="E15" s="3">
        <f>IF(E13&gt;0,E13-E14,0)</f>
        <v/>
      </c>
      <c r="F15" s="3">
        <f>IF(F13&gt;0,F13-F14,0)</f>
        <v/>
      </c>
      <c r="G15" s="3">
        <f>IF(G13&gt;0,G13-G14,0)</f>
        <v/>
      </c>
      <c r="H15" s="3">
        <f>IF(H13&gt;0,H13-H14,0)</f>
        <v/>
      </c>
      <c r="I15" s="3">
        <f>IF(I13&gt;0,I13-I14,0)</f>
        <v/>
      </c>
      <c r="J15" s="3">
        <f>IF(J13&gt;0,J13-J14,0)</f>
        <v/>
      </c>
      <c r="K15" s="3">
        <f>IF(K13&gt;0,K13-K14,0)</f>
        <v/>
      </c>
      <c r="L15" s="3">
        <f>IF(L13&gt;0,L13-L14,0)</f>
        <v/>
      </c>
    </row>
    <row r="16">
      <c r="A16" t="inlineStr">
        <is>
          <t>Closing balance</t>
        </is>
      </c>
      <c r="B16" s="3">
        <f>B11+B12-B15</f>
        <v/>
      </c>
      <c r="C16" s="3">
        <f>C11+C12-C15</f>
        <v/>
      </c>
      <c r="D16" s="3">
        <f>D11+D12-D15</f>
        <v/>
      </c>
      <c r="E16" s="3">
        <f>E11+E12-E15</f>
        <v/>
      </c>
      <c r="F16" s="3">
        <f>F11+F12-F15</f>
        <v/>
      </c>
      <c r="G16" s="3">
        <f>G11+G12-G15</f>
        <v/>
      </c>
      <c r="H16" s="3">
        <f>H11+H12-H15</f>
        <v/>
      </c>
      <c r="I16" s="3">
        <f>I11+I12-I15</f>
        <v/>
      </c>
      <c r="J16" s="3">
        <f>J11+J12-J15</f>
        <v/>
      </c>
      <c r="K16" s="3">
        <f>K11+K12-K15</f>
        <v/>
      </c>
      <c r="L16" s="3">
        <f>L11+L12-L15</f>
        <v/>
      </c>
    </row>
    <row r="18">
      <c r="A18" s="1" t="inlineStr">
        <is>
          <t>T3 Equipment finance lease</t>
        </is>
      </c>
      <c r="B18" s="1" t="n">
        <v>2028</v>
      </c>
      <c r="C18" s="1" t="n">
        <v>2029</v>
      </c>
      <c r="D18" s="1" t="n">
        <v>2030</v>
      </c>
      <c r="E18" s="1" t="n">
        <v>2031</v>
      </c>
      <c r="F18" s="1" t="n">
        <v>2032</v>
      </c>
      <c r="G18" s="1" t="n">
        <v>2033</v>
      </c>
      <c r="H18" s="1" t="n">
        <v>2034</v>
      </c>
      <c r="I18" s="1" t="n">
        <v>2035</v>
      </c>
      <c r="J18" s="1" t="n">
        <v>2036</v>
      </c>
      <c r="K18" s="1" t="n">
        <v>2037</v>
      </c>
      <c r="L18" s="1" t="n">
        <v>2038</v>
      </c>
    </row>
    <row r="19">
      <c r="A19" t="inlineStr">
        <is>
          <t>Opening balance</t>
        </is>
      </c>
      <c r="B19" s="3">
        <f>0</f>
        <v/>
      </c>
      <c r="C19" s="3">
        <f>B24</f>
        <v/>
      </c>
      <c r="D19" s="3">
        <f>C24</f>
        <v/>
      </c>
      <c r="E19" s="3">
        <f>D24</f>
        <v/>
      </c>
      <c r="F19" s="3">
        <f>E24</f>
        <v/>
      </c>
      <c r="G19" s="3">
        <f>F24</f>
        <v/>
      </c>
      <c r="H19" s="3">
        <f>G24</f>
        <v/>
      </c>
      <c r="I19" s="3">
        <f>H24</f>
        <v/>
      </c>
      <c r="J19" s="3">
        <f>I24</f>
        <v/>
      </c>
      <c r="K19" s="3">
        <f>J24</f>
        <v/>
      </c>
      <c r="L19" s="3">
        <f>K24</f>
        <v/>
      </c>
    </row>
    <row r="20">
      <c r="A20" t="inlineStr">
        <is>
          <t>Drawdown</t>
        </is>
      </c>
      <c r="B20" s="3">
        <f>Inputs!$B$55</f>
        <v/>
      </c>
      <c r="C20" s="3">
        <f>0</f>
        <v/>
      </c>
      <c r="D20" s="3">
        <f>0</f>
        <v/>
      </c>
      <c r="E20" s="3">
        <f>0</f>
        <v/>
      </c>
      <c r="F20" s="3">
        <f>0</f>
        <v/>
      </c>
      <c r="G20" s="3">
        <f>0</f>
        <v/>
      </c>
      <c r="H20" s="3">
        <f>0</f>
        <v/>
      </c>
      <c r="I20" s="3">
        <f>0</f>
        <v/>
      </c>
      <c r="J20" s="3">
        <f>0</f>
        <v/>
      </c>
      <c r="K20" s="3">
        <f>0</f>
        <v/>
      </c>
      <c r="L20" s="3">
        <f>0</f>
        <v/>
      </c>
    </row>
    <row r="21">
      <c r="A21" t="inlineStr">
        <is>
          <t>Installment</t>
        </is>
      </c>
      <c r="B21" s="3">
        <f>0</f>
        <v/>
      </c>
      <c r="C21" s="3">
        <f>IF(1&lt;=Inputs!$B$57,PMT(Inputs!$B$56,Inputs!$B$57,-Inputs!$B$55),0)</f>
        <v/>
      </c>
      <c r="D21" s="3">
        <f>IF(2&lt;=Inputs!$B$57,PMT(Inputs!$B$56,Inputs!$B$57,-Inputs!$B$55),0)</f>
        <v/>
      </c>
      <c r="E21" s="3">
        <f>IF(3&lt;=Inputs!$B$57,PMT(Inputs!$B$56,Inputs!$B$57,-Inputs!$B$55),0)</f>
        <v/>
      </c>
      <c r="F21" s="3">
        <f>IF(4&lt;=Inputs!$B$57,PMT(Inputs!$B$56,Inputs!$B$57,-Inputs!$B$55),0)</f>
        <v/>
      </c>
      <c r="G21" s="3">
        <f>IF(5&lt;=Inputs!$B$57,PMT(Inputs!$B$56,Inputs!$B$57,-Inputs!$B$55),0)</f>
        <v/>
      </c>
      <c r="H21" s="3">
        <f>IF(6&lt;=Inputs!$B$57,PMT(Inputs!$B$56,Inputs!$B$57,-Inputs!$B$55),0)</f>
        <v/>
      </c>
      <c r="I21" s="3">
        <f>IF(7&lt;=Inputs!$B$57,PMT(Inputs!$B$56,Inputs!$B$57,-Inputs!$B$55),0)</f>
        <v/>
      </c>
      <c r="J21" s="3">
        <f>IF(8&lt;=Inputs!$B$57,PMT(Inputs!$B$56,Inputs!$B$57,-Inputs!$B$55),0)</f>
        <v/>
      </c>
      <c r="K21" s="3">
        <f>IF(9&lt;=Inputs!$B$57,PMT(Inputs!$B$56,Inputs!$B$57,-Inputs!$B$55),0)</f>
        <v/>
      </c>
      <c r="L21" s="3">
        <f>IF(10&lt;=Inputs!$B$57,PMT(Inputs!$B$56,Inputs!$B$57,-Inputs!$B$55),0)</f>
        <v/>
      </c>
    </row>
    <row r="22">
      <c r="A22" t="inlineStr">
        <is>
          <t>Interest</t>
        </is>
      </c>
      <c r="B22" s="3">
        <f>0</f>
        <v/>
      </c>
      <c r="C22" s="3">
        <f>IF(1&lt;=Inputs!$B$57,C19*Inputs!$B$56,0)</f>
        <v/>
      </c>
      <c r="D22" s="3">
        <f>IF(2&lt;=Inputs!$B$57,D19*Inputs!$B$56,0)</f>
        <v/>
      </c>
      <c r="E22" s="3">
        <f>IF(3&lt;=Inputs!$B$57,E19*Inputs!$B$56,0)</f>
        <v/>
      </c>
      <c r="F22" s="3">
        <f>IF(4&lt;=Inputs!$B$57,F19*Inputs!$B$56,0)</f>
        <v/>
      </c>
      <c r="G22" s="3">
        <f>IF(5&lt;=Inputs!$B$57,G19*Inputs!$B$56,0)</f>
        <v/>
      </c>
      <c r="H22" s="3">
        <f>IF(6&lt;=Inputs!$B$57,H19*Inputs!$B$56,0)</f>
        <v/>
      </c>
      <c r="I22" s="3">
        <f>IF(7&lt;=Inputs!$B$57,I19*Inputs!$B$56,0)</f>
        <v/>
      </c>
      <c r="J22" s="3">
        <f>IF(8&lt;=Inputs!$B$57,J19*Inputs!$B$56,0)</f>
        <v/>
      </c>
      <c r="K22" s="3">
        <f>IF(9&lt;=Inputs!$B$57,K19*Inputs!$B$56,0)</f>
        <v/>
      </c>
      <c r="L22" s="3">
        <f>IF(10&lt;=Inputs!$B$57,L19*Inputs!$B$56,0)</f>
        <v/>
      </c>
    </row>
    <row r="23">
      <c r="A23" t="inlineStr">
        <is>
          <t>Principal</t>
        </is>
      </c>
      <c r="B23" s="3">
        <f>IF(B21&gt;0,B21-B22,0)</f>
        <v/>
      </c>
      <c r="C23" s="3">
        <f>IF(C21&gt;0,C21-C22,0)</f>
        <v/>
      </c>
      <c r="D23" s="3">
        <f>IF(D21&gt;0,D21-D22,0)</f>
        <v/>
      </c>
      <c r="E23" s="3">
        <f>IF(E21&gt;0,E21-E22,0)</f>
        <v/>
      </c>
      <c r="F23" s="3">
        <f>IF(F21&gt;0,F21-F22,0)</f>
        <v/>
      </c>
      <c r="G23" s="3">
        <f>IF(G21&gt;0,G21-G22,0)</f>
        <v/>
      </c>
      <c r="H23" s="3">
        <f>IF(H21&gt;0,H21-H22,0)</f>
        <v/>
      </c>
      <c r="I23" s="3">
        <f>IF(I21&gt;0,I21-I22,0)</f>
        <v/>
      </c>
      <c r="J23" s="3">
        <f>IF(J21&gt;0,J21-J22,0)</f>
        <v/>
      </c>
      <c r="K23" s="3">
        <f>IF(K21&gt;0,K21-K22,0)</f>
        <v/>
      </c>
      <c r="L23" s="3">
        <f>IF(L21&gt;0,L21-L22,0)</f>
        <v/>
      </c>
    </row>
    <row r="24">
      <c r="A24" t="inlineStr">
        <is>
          <t>Closing balance</t>
        </is>
      </c>
      <c r="B24" s="3">
        <f>B19+B20-B23</f>
        <v/>
      </c>
      <c r="C24" s="3">
        <f>C19+C20-C23</f>
        <v/>
      </c>
      <c r="D24" s="3">
        <f>D19+D20-D23</f>
        <v/>
      </c>
      <c r="E24" s="3">
        <f>E19+E20-E23</f>
        <v/>
      </c>
      <c r="F24" s="3">
        <f>F19+F20-F23</f>
        <v/>
      </c>
      <c r="G24" s="3">
        <f>G19+G20-G23</f>
        <v/>
      </c>
      <c r="H24" s="3">
        <f>H19+H20-H23</f>
        <v/>
      </c>
      <c r="I24" s="3">
        <f>I19+I20-I23</f>
        <v/>
      </c>
      <c r="J24" s="3">
        <f>J19+J20-J23</f>
        <v/>
      </c>
      <c r="K24" s="3">
        <f>K19+K20-K23</f>
        <v/>
      </c>
      <c r="L24" s="3">
        <f>L19+L20-L23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Cash flow, DSCR and valuation (live formulas)</t>
        </is>
      </c>
    </row>
    <row r="2">
      <c r="A2" t="inlineStr">
        <is>
          <t>Year</t>
        </is>
      </c>
      <c r="B2" s="1" t="n">
        <v>2029</v>
      </c>
      <c r="C2" s="1" t="n">
        <v>2030</v>
      </c>
      <c r="D2" s="1" t="n">
        <v>2031</v>
      </c>
      <c r="E2" s="1" t="n">
        <v>2032</v>
      </c>
      <c r="F2" s="1" t="n">
        <v>2033</v>
      </c>
      <c r="G2" s="1" t="n">
        <v>2034</v>
      </c>
      <c r="H2" s="1" t="n">
        <v>2035</v>
      </c>
      <c r="I2" s="1" t="n">
        <v>2036</v>
      </c>
      <c r="J2" s="1" t="n">
        <v>2037</v>
      </c>
      <c r="K2" s="1" t="n">
        <v>2038</v>
      </c>
    </row>
    <row r="3">
      <c r="A3" t="inlineStr">
        <is>
          <t>EBITDA</t>
        </is>
      </c>
      <c r="B3" s="3">
        <f>PnL!B33</f>
        <v/>
      </c>
      <c r="C3" s="3">
        <f>PnL!C33</f>
        <v/>
      </c>
      <c r="D3" s="3">
        <f>PnL!D33</f>
        <v/>
      </c>
      <c r="E3" s="3">
        <f>PnL!E33</f>
        <v/>
      </c>
      <c r="F3" s="3">
        <f>PnL!F33</f>
        <v/>
      </c>
      <c r="G3" s="3">
        <f>PnL!G33</f>
        <v/>
      </c>
      <c r="H3" s="3">
        <f>PnL!H33</f>
        <v/>
      </c>
      <c r="I3" s="3">
        <f>PnL!I33</f>
        <v/>
      </c>
      <c r="J3" s="3">
        <f>PnL!J33</f>
        <v/>
      </c>
      <c r="K3" s="3">
        <f>PnL!K33</f>
        <v/>
      </c>
    </row>
    <row r="4">
      <c r="A4" t="inlineStr">
        <is>
          <t>Tax</t>
        </is>
      </c>
      <c r="B4" s="3">
        <f>PnL!B40</f>
        <v/>
      </c>
      <c r="C4" s="3">
        <f>PnL!C40</f>
        <v/>
      </c>
      <c r="D4" s="3">
        <f>PnL!D40</f>
        <v/>
      </c>
      <c r="E4" s="3">
        <f>PnL!E40</f>
        <v/>
      </c>
      <c r="F4" s="3">
        <f>PnL!F40</f>
        <v/>
      </c>
      <c r="G4" s="3">
        <f>PnL!G40</f>
        <v/>
      </c>
      <c r="H4" s="3">
        <f>PnL!H40</f>
        <v/>
      </c>
      <c r="I4" s="3">
        <f>PnL!I40</f>
        <v/>
      </c>
      <c r="J4" s="3">
        <f>PnL!J40</f>
        <v/>
      </c>
      <c r="K4" s="3">
        <f>PnL!K40</f>
        <v/>
      </c>
    </row>
    <row r="5">
      <c r="A5" t="inlineStr">
        <is>
          <t>Receivables</t>
        </is>
      </c>
      <c r="B5" s="3">
        <f>PnL!B17*Inputs!$B$39/365</f>
        <v/>
      </c>
      <c r="C5" s="3">
        <f>PnL!C17*Inputs!$B$39/365</f>
        <v/>
      </c>
      <c r="D5" s="3">
        <f>PnL!D17*Inputs!$B$39/365</f>
        <v/>
      </c>
      <c r="E5" s="3">
        <f>PnL!E17*Inputs!$B$39/365</f>
        <v/>
      </c>
      <c r="F5" s="3">
        <f>PnL!F17*Inputs!$B$39/365</f>
        <v/>
      </c>
      <c r="G5" s="3">
        <f>PnL!G17*Inputs!$B$39/365</f>
        <v/>
      </c>
      <c r="H5" s="3">
        <f>PnL!H17*Inputs!$B$39/365</f>
        <v/>
      </c>
      <c r="I5" s="3">
        <f>PnL!I17*Inputs!$B$39/365</f>
        <v/>
      </c>
      <c r="J5" s="3">
        <f>PnL!J17*Inputs!$B$39/365</f>
        <v/>
      </c>
      <c r="K5" s="3">
        <f>PnL!K17*Inputs!$B$39/365</f>
        <v/>
      </c>
    </row>
    <row r="6">
      <c r="A6" t="inlineStr">
        <is>
          <t>Inventory</t>
        </is>
      </c>
      <c r="B6" s="3">
        <f>(PnL!B19+PnL!B20)*Inputs!$B$40/365</f>
        <v/>
      </c>
      <c r="C6" s="3">
        <f>(PnL!C19+PnL!C20)*Inputs!$B$40/365</f>
        <v/>
      </c>
      <c r="D6" s="3">
        <f>(PnL!D19+PnL!D20)*Inputs!$B$40/365</f>
        <v/>
      </c>
      <c r="E6" s="3">
        <f>(PnL!E19+PnL!E20)*Inputs!$B$40/365</f>
        <v/>
      </c>
      <c r="F6" s="3">
        <f>(PnL!F19+PnL!F20)*Inputs!$B$40/365</f>
        <v/>
      </c>
      <c r="G6" s="3">
        <f>(PnL!G19+PnL!G20)*Inputs!$B$40/365</f>
        <v/>
      </c>
      <c r="H6" s="3">
        <f>(PnL!H19+PnL!H20)*Inputs!$B$40/365</f>
        <v/>
      </c>
      <c r="I6" s="3">
        <f>(PnL!I19+PnL!I20)*Inputs!$B$40/365</f>
        <v/>
      </c>
      <c r="J6" s="3">
        <f>(PnL!J19+PnL!J20)*Inputs!$B$40/365</f>
        <v/>
      </c>
      <c r="K6" s="3">
        <f>(PnL!K19+PnL!K20)*Inputs!$B$40/365</f>
        <v/>
      </c>
    </row>
    <row r="7">
      <c r="A7" t="inlineStr">
        <is>
          <t>Payables</t>
        </is>
      </c>
      <c r="B7" s="3">
        <f>(PnL!B32-PnL!B18-PnL!B31-PnL!B21)*Inputs!$B$41/365</f>
        <v/>
      </c>
      <c r="C7" s="3">
        <f>(PnL!C32-PnL!C18-PnL!C31-PnL!C21)*Inputs!$B$41/365</f>
        <v/>
      </c>
      <c r="D7" s="3">
        <f>(PnL!D32-PnL!D18-PnL!D31-PnL!D21)*Inputs!$B$41/365</f>
        <v/>
      </c>
      <c r="E7" s="3">
        <f>(PnL!E32-PnL!E18-PnL!E31-PnL!E21)*Inputs!$B$41/365</f>
        <v/>
      </c>
      <c r="F7" s="3">
        <f>(PnL!F32-PnL!F18-PnL!F31-PnL!F21)*Inputs!$B$41/365</f>
        <v/>
      </c>
      <c r="G7" s="3">
        <f>(PnL!G32-PnL!G18-PnL!G31-PnL!G21)*Inputs!$B$41/365</f>
        <v/>
      </c>
      <c r="H7" s="3">
        <f>(PnL!H32-PnL!H18-PnL!H31-PnL!H21)*Inputs!$B$41/365</f>
        <v/>
      </c>
      <c r="I7" s="3">
        <f>(PnL!I32-PnL!I18-PnL!I31-PnL!I21)*Inputs!$B$41/365</f>
        <v/>
      </c>
      <c r="J7" s="3">
        <f>(PnL!J32-PnL!J18-PnL!J31-PnL!J21)*Inputs!$B$41/365</f>
        <v/>
      </c>
      <c r="K7" s="3">
        <f>(PnL!K32-PnL!K18-PnL!K31-PnL!K21)*Inputs!$B$41/365</f>
        <v/>
      </c>
    </row>
    <row r="8">
      <c r="A8" t="inlineStr">
        <is>
          <t>Net working capital</t>
        </is>
      </c>
      <c r="B8" s="3">
        <f>B5+B6-B7</f>
        <v/>
      </c>
      <c r="C8" s="3">
        <f>C5+C6-C7</f>
        <v/>
      </c>
      <c r="D8" s="3">
        <f>D5+D6-D7</f>
        <v/>
      </c>
      <c r="E8" s="3">
        <f>E5+E6-E7</f>
        <v/>
      </c>
      <c r="F8" s="3">
        <f>F5+F6-F7</f>
        <v/>
      </c>
      <c r="G8" s="3">
        <f>G5+G6-G7</f>
        <v/>
      </c>
      <c r="H8" s="3">
        <f>H5+H6-H7</f>
        <v/>
      </c>
      <c r="I8" s="3">
        <f>I5+I6-I7</f>
        <v/>
      </c>
      <c r="J8" s="3">
        <f>J5+J6-J7</f>
        <v/>
      </c>
      <c r="K8" s="3">
        <f>K5+K6-K7</f>
        <v/>
      </c>
    </row>
    <row r="9">
      <c r="A9" t="inlineStr">
        <is>
          <t>Change in working capital</t>
        </is>
      </c>
      <c r="B9" s="3">
        <f>B8</f>
        <v/>
      </c>
      <c r="C9" s="3">
        <f>C8-B8</f>
        <v/>
      </c>
      <c r="D9" s="3">
        <f>D8-C8</f>
        <v/>
      </c>
      <c r="E9" s="3">
        <f>E8-D8</f>
        <v/>
      </c>
      <c r="F9" s="3">
        <f>F8-E8</f>
        <v/>
      </c>
      <c r="G9" s="3">
        <f>G8-F8</f>
        <v/>
      </c>
      <c r="H9" s="3">
        <f>H8-G8</f>
        <v/>
      </c>
      <c r="I9" s="3">
        <f>I8-H8</f>
        <v/>
      </c>
      <c r="J9" s="3">
        <f>J8-I8</f>
        <v/>
      </c>
      <c r="K9" s="3">
        <f>K8-J8</f>
        <v/>
      </c>
    </row>
    <row r="10">
      <c r="A10" t="inlineStr">
        <is>
          <t>Maintenance capex</t>
        </is>
      </c>
      <c r="B10" s="3">
        <f>PnL!B35</f>
        <v/>
      </c>
      <c r="C10" s="3">
        <f>PnL!C35</f>
        <v/>
      </c>
      <c r="D10" s="3">
        <f>PnL!D35</f>
        <v/>
      </c>
      <c r="E10" s="3">
        <f>PnL!E35</f>
        <v/>
      </c>
      <c r="F10" s="3">
        <f>PnL!F35</f>
        <v/>
      </c>
      <c r="G10" s="3">
        <f>PnL!G35</f>
        <v/>
      </c>
      <c r="H10" s="3">
        <f>PnL!H35</f>
        <v/>
      </c>
      <c r="I10" s="3">
        <f>PnL!I35</f>
        <v/>
      </c>
      <c r="J10" s="3">
        <f>PnL!J35</f>
        <v/>
      </c>
      <c r="K10" s="3">
        <f>PnL!K35</f>
        <v/>
      </c>
    </row>
    <row r="11">
      <c r="A11" s="1" t="inlineStr">
        <is>
          <t>CFADS</t>
        </is>
      </c>
      <c r="B11" s="3">
        <f>B3-B4-B9-B10</f>
        <v/>
      </c>
      <c r="C11" s="3">
        <f>C3-C4-C9-C10</f>
        <v/>
      </c>
      <c r="D11" s="3">
        <f>D3-D4-D9-D10</f>
        <v/>
      </c>
      <c r="E11" s="3">
        <f>E3-E4-E9-E10</f>
        <v/>
      </c>
      <c r="F11" s="3">
        <f>F3-F4-F9-F10</f>
        <v/>
      </c>
      <c r="G11" s="3">
        <f>G3-G4-G9-G10</f>
        <v/>
      </c>
      <c r="H11" s="3">
        <f>H3-H4-H9-H10</f>
        <v/>
      </c>
      <c r="I11" s="3">
        <f>I3-I4-I9-I10</f>
        <v/>
      </c>
      <c r="J11" s="3">
        <f>J3-J4-J9-J10</f>
        <v/>
      </c>
      <c r="K11" s="3">
        <f>K3-K4-K9-K10</f>
        <v/>
      </c>
    </row>
    <row r="12">
      <c r="A12" t="inlineStr">
        <is>
          <t>Debt service</t>
        </is>
      </c>
      <c r="B12" s="3">
        <f>Debt!C5+Debt!C13+Debt!C21+IF(Debt!C5=0,Debt!C6,0)+IF(Debt!C13=0,Debt!C14,0)</f>
        <v/>
      </c>
      <c r="C12" s="3">
        <f>Debt!D5+Debt!D13+Debt!D21+IF(Debt!D5=0,Debt!D6,0)+IF(Debt!D13=0,Debt!D14,0)</f>
        <v/>
      </c>
      <c r="D12" s="3">
        <f>Debt!E5+Debt!E13+Debt!E21+IF(Debt!E5=0,Debt!E6,0)+IF(Debt!E13=0,Debt!E14,0)</f>
        <v/>
      </c>
      <c r="E12" s="3">
        <f>Debt!F5+Debt!F13+Debt!F21+IF(Debt!F5=0,Debt!F6,0)+IF(Debt!F13=0,Debt!F14,0)</f>
        <v/>
      </c>
      <c r="F12" s="3">
        <f>Debt!G5+Debt!G13+Debt!G21+IF(Debt!G5=0,Debt!G6,0)+IF(Debt!G13=0,Debt!G14,0)</f>
        <v/>
      </c>
      <c r="G12" s="3">
        <f>Debt!H5+Debt!H13+Debt!H21+IF(Debt!H5=0,Debt!H6,0)+IF(Debt!H13=0,Debt!H14,0)</f>
        <v/>
      </c>
      <c r="H12" s="3">
        <f>Debt!I5+Debt!I13+Debt!I21+IF(Debt!I5=0,Debt!I6,0)+IF(Debt!I13=0,Debt!I14,0)</f>
        <v/>
      </c>
      <c r="I12" s="3">
        <f>Debt!J5+Debt!J13+Debt!J21+IF(Debt!J5=0,Debt!J6,0)+IF(Debt!J13=0,Debt!J14,0)</f>
        <v/>
      </c>
      <c r="J12" s="3">
        <f>Debt!K5+Debt!K13+Debt!K21+IF(Debt!K5=0,Debt!K6,0)+IF(Debt!K13=0,Debt!K14,0)</f>
        <v/>
      </c>
      <c r="K12" s="3">
        <f>Debt!L5+Debt!L13+Debt!L21+IF(Debt!L5=0,Debt!L6,0)+IF(Debt!L13=0,Debt!L14,0)</f>
        <v/>
      </c>
    </row>
    <row r="13">
      <c r="A13" s="1" t="inlineStr">
        <is>
          <t>DSCR</t>
        </is>
      </c>
      <c r="B13" s="5">
        <f>IF(B12&gt;0,B11/B12,"")</f>
        <v/>
      </c>
      <c r="C13" s="5">
        <f>IF(C12&gt;0,C11/C12,"")</f>
        <v/>
      </c>
      <c r="D13" s="5">
        <f>IF(D12&gt;0,D11/D12,"")</f>
        <v/>
      </c>
      <c r="E13" s="5">
        <f>IF(E12&gt;0,E11/E12,"")</f>
        <v/>
      </c>
      <c r="F13" s="5">
        <f>IF(F12&gt;0,F11/F12,"")</f>
        <v/>
      </c>
      <c r="G13" s="5">
        <f>IF(G12&gt;0,G11/G12,"")</f>
        <v/>
      </c>
      <c r="H13" s="5">
        <f>IF(H12&gt;0,H11/H12,"")</f>
        <v/>
      </c>
      <c r="I13" s="5">
        <f>IF(I12&gt;0,I11/I12,"")</f>
        <v/>
      </c>
      <c r="J13" s="5">
        <f>IF(J12&gt;0,J11/J12,"")</f>
        <v/>
      </c>
      <c r="K13" s="5">
        <f>IF(K12&gt;0,K11/K12,"")</f>
        <v/>
      </c>
    </row>
    <row r="14">
      <c r="A14" t="inlineStr">
        <is>
          <t>Cash flow after debt service</t>
        </is>
      </c>
      <c r="B14" s="3">
        <f>B11-B12</f>
        <v/>
      </c>
      <c r="C14" s="3">
        <f>C11-C12</f>
        <v/>
      </c>
      <c r="D14" s="3">
        <f>D11-D12</f>
        <v/>
      </c>
      <c r="E14" s="3">
        <f>E11-E12</f>
        <v/>
      </c>
      <c r="F14" s="3">
        <f>F11-F12</f>
        <v/>
      </c>
      <c r="G14" s="3">
        <f>G11-G12</f>
        <v/>
      </c>
      <c r="H14" s="3">
        <f>H11-H12</f>
        <v/>
      </c>
      <c r="I14" s="3">
        <f>I11-I12</f>
        <v/>
      </c>
      <c r="J14" s="3">
        <f>J11-J12</f>
        <v/>
      </c>
      <c r="K14" s="3">
        <f>K11-K12</f>
        <v/>
      </c>
    </row>
    <row r="15">
      <c r="A15" t="inlineStr">
        <is>
          <t>Closing cash (from reserve)</t>
        </is>
      </c>
      <c r="B15" s="3">
        <f>Inputs!$B$58+B14</f>
        <v/>
      </c>
      <c r="C15" s="3">
        <f>B15+C14</f>
        <v/>
      </c>
      <c r="D15" s="3">
        <f>C15+D14</f>
        <v/>
      </c>
      <c r="E15" s="3">
        <f>D15+E14</f>
        <v/>
      </c>
      <c r="F15" s="3">
        <f>E15+F14</f>
        <v/>
      </c>
      <c r="G15" s="3">
        <f>F15+G14</f>
        <v/>
      </c>
      <c r="H15" s="3">
        <f>G15+H14</f>
        <v/>
      </c>
      <c r="I15" s="3">
        <f>H15+I14</f>
        <v/>
      </c>
      <c r="J15" s="3">
        <f>I15+J14</f>
        <v/>
      </c>
      <c r="K15" s="3">
        <f>J15+K14</f>
        <v/>
      </c>
    </row>
    <row r="16">
      <c r="A16" t="inlineStr">
        <is>
          <t>Unlevered tax</t>
        </is>
      </c>
      <c r="B16" s="3">
        <f>MAX(PnL!B33-PnL!B36,0)*Inputs!$B$42*IF(Drivers!B$16&lt;Inputs!$B$44,1-Inputs!$B$43,1)</f>
        <v/>
      </c>
      <c r="C16" s="3">
        <f>MAX(PnL!C33-PnL!C36,0)*Inputs!$B$42*IF(Drivers!C$16&lt;Inputs!$B$44,1-Inputs!$B$43,1)</f>
        <v/>
      </c>
      <c r="D16" s="3">
        <f>MAX(PnL!D33-PnL!D36,0)*Inputs!$B$42*IF(Drivers!D$16&lt;Inputs!$B$44,1-Inputs!$B$43,1)</f>
        <v/>
      </c>
      <c r="E16" s="3">
        <f>MAX(PnL!E33-PnL!E36,0)*Inputs!$B$42*IF(Drivers!E$16&lt;Inputs!$B$44,1-Inputs!$B$43,1)</f>
        <v/>
      </c>
      <c r="F16" s="3">
        <f>MAX(PnL!F33-PnL!F36,0)*Inputs!$B$42*IF(Drivers!F$16&lt;Inputs!$B$44,1-Inputs!$B$43,1)</f>
        <v/>
      </c>
      <c r="G16" s="3">
        <f>MAX(PnL!G33-PnL!G36,0)*Inputs!$B$42*IF(Drivers!G$16&lt;Inputs!$B$44,1-Inputs!$B$43,1)</f>
        <v/>
      </c>
      <c r="H16" s="3">
        <f>MAX(PnL!H33-PnL!H36,0)*Inputs!$B$42*IF(Drivers!H$16&lt;Inputs!$B$44,1-Inputs!$B$43,1)</f>
        <v/>
      </c>
      <c r="I16" s="3">
        <f>MAX(PnL!I33-PnL!I36,0)*Inputs!$B$42*IF(Drivers!I$16&lt;Inputs!$B$44,1-Inputs!$B$43,1)</f>
        <v/>
      </c>
      <c r="J16" s="3">
        <f>MAX(PnL!J33-PnL!J36,0)*Inputs!$B$42*IF(Drivers!J$16&lt;Inputs!$B$44,1-Inputs!$B$43,1)</f>
        <v/>
      </c>
      <c r="K16" s="3">
        <f>MAX(PnL!K33-PnL!K36,0)*Inputs!$B$42*IF(Drivers!K$16&lt;Inputs!$B$44,1-Inputs!$B$43,1)</f>
        <v/>
      </c>
    </row>
    <row r="17">
      <c r="A17" s="1" t="inlineStr">
        <is>
          <t>Project free cash flow</t>
        </is>
      </c>
      <c r="B17" s="3">
        <f>B3-B16-B9-B10</f>
        <v/>
      </c>
      <c r="C17" s="3">
        <f>C3-C16-C9-C10</f>
        <v/>
      </c>
      <c r="D17" s="3">
        <f>D3-D16-D9-D10</f>
        <v/>
      </c>
      <c r="E17" s="3">
        <f>E3-E16-E9-E10</f>
        <v/>
      </c>
      <c r="F17" s="3">
        <f>F3-F16-F9-F10</f>
        <v/>
      </c>
      <c r="G17" s="3">
        <f>G3-G16-G9-G10</f>
        <v/>
      </c>
      <c r="H17" s="3">
        <f>H3-H16-H9-H10</f>
        <v/>
      </c>
      <c r="I17" s="3">
        <f>I3-I16-I9-I10</f>
        <v/>
      </c>
      <c r="J17" s="3">
        <f>J3-J16-J9-J10</f>
        <v/>
      </c>
      <c r="K17" s="3">
        <f>K3-K16-K9-K10</f>
        <v/>
      </c>
    </row>
    <row r="19">
      <c r="A19" s="1" t="inlineStr">
        <is>
          <t>Construction outflow 2027</t>
        </is>
      </c>
      <c r="B19" s="3" t="n">
        <v>-924720</v>
      </c>
    </row>
    <row r="20">
      <c r="A20" s="1" t="inlineStr">
        <is>
          <t>Construction outflow 2028</t>
        </is>
      </c>
      <c r="B20" s="3" t="n">
        <v>-3327080</v>
      </c>
    </row>
    <row r="21">
      <c r="A21" t="inlineStr">
        <is>
          <t>Terminal value at 2038</t>
        </is>
      </c>
      <c r="B21" s="3">
        <f>K17*(1+Inputs!$B$46)/(Inputs!$B$45-Inputs!$B$46)</f>
        <v/>
      </c>
    </row>
    <row r="22">
      <c r="A22" s="1" t="inlineStr">
        <is>
          <t>Project NPV @ discount rate, no TV</t>
        </is>
      </c>
      <c r="B22" s="3">
        <f>B19+B20/(1+Inputs!$B$45)+NPV(Inputs!$B$45,B17:K17)/(1+Inputs!$B$45)</f>
        <v/>
      </c>
    </row>
    <row r="23">
      <c r="A23" s="1" t="inlineStr">
        <is>
          <t>Project NPV with TV</t>
        </is>
      </c>
      <c r="B23" s="3">
        <f>B22+B21/(1+Inputs!$B$45)^11</f>
        <v/>
      </c>
    </row>
    <row r="24">
      <c r="A24" t="inlineStr">
        <is>
          <t>Minimum DSCR</t>
        </is>
      </c>
      <c r="B24" s="5">
        <f>MIN(B13:K13)</f>
        <v/>
      </c>
    </row>
    <row r="25">
      <c r="A25" t="inlineStr">
        <is>
          <t>Minimum cash</t>
        </is>
      </c>
      <c r="B25" s="3">
        <f>MIN(B15:K15)</f>
        <v/>
      </c>
    </row>
    <row r="26">
      <c r="A26" t="inlineStr">
        <is>
          <t>Python check: NPV with TV (should match)</t>
        </is>
      </c>
      <c r="B26" s="3" t="n">
        <v>2583075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Scenario and structure results (values from ptc_model.py)</t>
        </is>
      </c>
    </row>
    <row r="2">
      <c r="A2" s="1" t="inlineStr">
        <is>
          <t>Case</t>
        </is>
      </c>
      <c r="B2" s="1" t="inlineStr">
        <is>
          <t>net_rev_y6</t>
        </is>
      </c>
      <c r="C2" s="1" t="inlineStr">
        <is>
          <t>ebitda_y6</t>
        </is>
      </c>
      <c r="D2" s="1" t="inlineStr">
        <is>
          <t>ebitda_margin_y6</t>
        </is>
      </c>
      <c r="E2" s="1" t="inlineStr">
        <is>
          <t>min_dscr</t>
        </is>
      </c>
      <c r="F2" s="1" t="inlineStr">
        <is>
          <t>min_dscr_year</t>
        </is>
      </c>
      <c r="G2" s="1" t="inlineStr">
        <is>
          <t>dscr_y6</t>
        </is>
      </c>
      <c r="H2" s="1" t="inlineStr">
        <is>
          <t>min_cash</t>
        </is>
      </c>
      <c r="I2" s="1" t="inlineStr">
        <is>
          <t>npv_no_tv</t>
        </is>
      </c>
      <c r="J2" s="1" t="inlineStr">
        <is>
          <t>npv_tv</t>
        </is>
      </c>
      <c r="K2" s="1" t="inlineStr">
        <is>
          <t>irr_tv</t>
        </is>
      </c>
      <c r="L2" s="1" t="inlineStr">
        <is>
          <t>equity_irr_tv</t>
        </is>
      </c>
      <c r="M2" s="1" t="inlineStr">
        <is>
          <t>equity</t>
        </is>
      </c>
      <c r="N2" s="1" t="inlineStr">
        <is>
          <t>debt</t>
        </is>
      </c>
    </row>
    <row r="3">
      <c r="A3" t="inlineStr">
        <is>
          <t>Base</t>
        </is>
      </c>
      <c r="B3" t="n">
        <v>4816039.614799246</v>
      </c>
      <c r="C3" t="n">
        <v>1144957.798815042</v>
      </c>
      <c r="D3" t="n">
        <v>0.2377</v>
      </c>
      <c r="E3" t="n">
        <v>-3.0088</v>
      </c>
      <c r="F3" t="n">
        <v>2029</v>
      </c>
      <c r="G3" t="n">
        <v>2.2951</v>
      </c>
      <c r="H3" t="n">
        <v>-806818.3552616632</v>
      </c>
      <c r="I3" t="n">
        <v>-1502654.438202631</v>
      </c>
      <c r="J3" t="n">
        <v>2583075.213504797</v>
      </c>
      <c r="K3" t="n">
        <v>0.1604</v>
      </c>
      <c r="L3" t="n">
        <v>0.1814</v>
      </c>
      <c r="M3" t="n">
        <v>2011175</v>
      </c>
      <c r="N3" t="n">
        <v>3000000</v>
      </c>
    </row>
    <row r="4">
      <c r="A4" t="inlineStr">
        <is>
          <t>Prudent (volumes -20%, prices -5%, DSO 150)</t>
        </is>
      </c>
      <c r="B4" t="n">
        <v>3687996.423313688</v>
      </c>
      <c r="C4" t="n">
        <v>338526.5841600737</v>
      </c>
      <c r="D4" t="n">
        <v>0.09180000000000001</v>
      </c>
      <c r="E4" t="n">
        <v>-4.8477</v>
      </c>
      <c r="F4" t="n">
        <v>2029</v>
      </c>
      <c r="G4" t="n">
        <v>0.5780999999999999</v>
      </c>
      <c r="H4" t="n">
        <v>-3700946.650719141</v>
      </c>
      <c r="I4" t="n">
        <v>-4872095.366785241</v>
      </c>
      <c r="J4" t="n">
        <v>-3873944.762915945</v>
      </c>
      <c r="K4" t="n">
        <v>-0.0436</v>
      </c>
      <c r="L4" t="n">
        <v>-0.063</v>
      </c>
      <c r="M4" t="n">
        <v>2011175</v>
      </c>
      <c r="N4" t="n">
        <v>3000000</v>
      </c>
    </row>
    <row r="5">
      <c r="A5" t="inlineStr">
        <is>
          <t>Optimistic (volumes +15%)</t>
        </is>
      </c>
      <c r="B5" t="n">
        <v>5516493.202229979</v>
      </c>
      <c r="C5" t="n">
        <v>1643938.74190044</v>
      </c>
      <c r="D5" t="n">
        <v>0.298</v>
      </c>
      <c r="E5" t="n">
        <v>-2.4213</v>
      </c>
      <c r="F5" t="n">
        <v>2029</v>
      </c>
      <c r="G5" t="n">
        <v>3.314</v>
      </c>
      <c r="H5" t="n">
        <v>-238985.0049726386</v>
      </c>
      <c r="I5" t="n">
        <v>337982.3078135476</v>
      </c>
      <c r="J5" t="n">
        <v>6312687.828744792</v>
      </c>
      <c r="K5" t="n">
        <v>0.2278</v>
      </c>
      <c r="L5" t="n">
        <v>0.2656</v>
      </c>
      <c r="M5" t="n">
        <v>2011175</v>
      </c>
      <c r="N5" t="n">
        <v>3000000</v>
      </c>
    </row>
    <row r="6">
      <c r="A6" t="inlineStr">
        <is>
          <t>Tourism shock (tourists -80% Y1-Y2, ER -10%)</t>
        </is>
      </c>
      <c r="B6" t="n">
        <v>4734075.662535368</v>
      </c>
      <c r="C6" t="n">
        <v>1084275.986172252</v>
      </c>
      <c r="D6" t="n">
        <v>0.229</v>
      </c>
      <c r="E6" t="n">
        <v>-3.2553</v>
      </c>
      <c r="F6" t="n">
        <v>2029</v>
      </c>
      <c r="G6" t="n">
        <v>2.319</v>
      </c>
      <c r="H6" t="n">
        <v>-1025920.212847798</v>
      </c>
      <c r="I6" t="n">
        <v>-1831100.750066701</v>
      </c>
      <c r="J6" t="n">
        <v>2014566.386620819</v>
      </c>
      <c r="K6" t="n">
        <v>0.1478</v>
      </c>
      <c r="L6" t="n">
        <v>0.1663</v>
      </c>
      <c r="M6" t="n">
        <v>2011175</v>
      </c>
      <c r="N6" t="n">
        <v>3000000</v>
      </c>
    </row>
    <row r="7">
      <c r="A7" t="inlineStr">
        <is>
          <t>No customs/sales-tax exemption (+16% on equipment and MEP)</t>
        </is>
      </c>
      <c r="B7" t="n">
        <v>4816039.614799246</v>
      </c>
      <c r="C7" t="n">
        <v>1129425.82686848</v>
      </c>
      <c r="D7" t="n">
        <v>0.2345</v>
      </c>
      <c r="E7" t="n">
        <v>-3.0265</v>
      </c>
      <c r="F7" t="n">
        <v>2029</v>
      </c>
      <c r="G7" t="n">
        <v>2.3795</v>
      </c>
      <c r="H7" t="n">
        <v>-828136.8344397454</v>
      </c>
      <c r="I7" t="n">
        <v>-1842591.925497909</v>
      </c>
      <c r="J7" t="n">
        <v>2188369.707912541</v>
      </c>
      <c r="K7" t="n">
        <v>0.1496</v>
      </c>
      <c r="L7" t="n">
        <v>0.1672</v>
      </c>
      <c r="M7" t="n">
        <v>2334855</v>
      </c>
      <c r="N7" t="n">
        <v>3000000</v>
      </c>
    </row>
    <row r="8">
      <c r="A8" t="inlineStr">
        <is>
          <t>Construction 780/m2 (+30% on lean 600)</t>
        </is>
      </c>
      <c r="B8" t="n">
        <v>4816039.614799246</v>
      </c>
      <c r="C8" t="n">
        <v>1138815.609908902</v>
      </c>
      <c r="D8" t="n">
        <v>0.2365</v>
      </c>
      <c r="E8" t="n">
        <v>-3.0298</v>
      </c>
      <c r="F8" t="n">
        <v>2029</v>
      </c>
      <c r="G8" t="n">
        <v>2.3036</v>
      </c>
      <c r="H8" t="n">
        <v>-822577.7247548143</v>
      </c>
      <c r="I8" t="n">
        <v>-2035930.667669875</v>
      </c>
      <c r="J8" t="n">
        <v>2041423.609356661</v>
      </c>
      <c r="K8" t="n">
        <v>0.1447</v>
      </c>
      <c r="L8" t="n">
        <v>0.16</v>
      </c>
      <c r="M8" t="n">
        <v>2554055</v>
      </c>
      <c r="N8" t="n">
        <v>3000000</v>
      </c>
    </row>
    <row r="9">
      <c r="A9" t="inlineStr">
        <is>
          <t>Payroll +15%</t>
        </is>
      </c>
      <c r="B9" t="n">
        <v>4816039.614799246</v>
      </c>
      <c r="C9" t="n">
        <v>919903.7493845164</v>
      </c>
      <c r="D9" t="n">
        <v>0.191</v>
      </c>
      <c r="E9" t="n">
        <v>-3.6838</v>
      </c>
      <c r="F9" t="n">
        <v>2029</v>
      </c>
      <c r="G9" t="n">
        <v>2.1326</v>
      </c>
      <c r="H9" t="n">
        <v>-1407774.124855621</v>
      </c>
      <c r="I9" t="n">
        <v>-2520875.960361728</v>
      </c>
      <c r="J9" t="n">
        <v>670614.9730338496</v>
      </c>
      <c r="K9" t="n">
        <v>0.117</v>
      </c>
      <c r="L9" t="n">
        <v>0.1298</v>
      </c>
      <c r="M9" t="n">
        <v>2011175</v>
      </c>
      <c r="N9" t="n">
        <v>3000000</v>
      </c>
    </row>
    <row r="10">
      <c r="A10" t="inlineStr">
        <is>
          <t>MoH/RMS purchasing contract (+15% inpatient and surgery, DSO 150)</t>
        </is>
      </c>
      <c r="B10" t="n">
        <v>5100583.120829817</v>
      </c>
      <c r="C10" t="n">
        <v>1342126.2261579</v>
      </c>
      <c r="D10" t="n">
        <v>0.2631</v>
      </c>
      <c r="E10" t="n">
        <v>-3.985</v>
      </c>
      <c r="F10" t="n">
        <v>2029</v>
      </c>
      <c r="G10" t="n">
        <v>2.6093</v>
      </c>
      <c r="H10" t="n">
        <v>-979403.2856054966</v>
      </c>
      <c r="I10" t="n">
        <v>-1251698.741220354</v>
      </c>
      <c r="J10" t="n">
        <v>3514378.895189697</v>
      </c>
      <c r="K10" t="n">
        <v>0.1755</v>
      </c>
      <c r="L10" t="n">
        <v>0.1985</v>
      </c>
      <c r="M10" t="n">
        <v>2011175</v>
      </c>
      <c r="N10" t="n">
        <v>3000000</v>
      </c>
    </row>
    <row r="11">
      <c r="A11" t="inlineStr">
        <is>
          <t>Conditions met: contracted volumes +20%</t>
        </is>
      </c>
      <c r="B11" t="n">
        <v>5749977.731373556</v>
      </c>
      <c r="C11" t="n">
        <v>1810265.722928906</v>
      </c>
      <c r="D11" t="n">
        <v>0.3148</v>
      </c>
      <c r="E11" t="n">
        <v>-2.2255</v>
      </c>
      <c r="F11" t="n">
        <v>2029</v>
      </c>
      <c r="G11" t="n">
        <v>3.6536</v>
      </c>
      <c r="H11" t="n">
        <v>-109372.6949971378</v>
      </c>
      <c r="I11" t="n">
        <v>950162.8347123552</v>
      </c>
      <c r="J11" t="n">
        <v>7554526.978718204</v>
      </c>
      <c r="K11" t="n">
        <v>0.2471</v>
      </c>
      <c r="L11" t="n">
        <v>0.2901</v>
      </c>
      <c r="M11" t="n">
        <v>2011175</v>
      </c>
      <c r="N11" t="n">
        <v>3000000</v>
      </c>
    </row>
    <row r="12">
      <c r="A12" t="inlineStr">
        <is>
          <t>If MoH requires a general hospital (40 beds, internal medicine + obstetrics)</t>
        </is>
      </c>
      <c r="B12" t="n">
        <v>5653873.801733973</v>
      </c>
      <c r="C12" t="n">
        <v>1037959.904978016</v>
      </c>
      <c r="D12" t="n">
        <v>0.1836</v>
      </c>
      <c r="E12" t="n">
        <v>-4.4311</v>
      </c>
      <c r="F12" t="n">
        <v>2029</v>
      </c>
      <c r="G12" t="n">
        <v>2.3905</v>
      </c>
      <c r="H12" t="n">
        <v>-1627738.81541511</v>
      </c>
      <c r="I12" t="n">
        <v>-5527063.90782233</v>
      </c>
      <c r="J12" t="n">
        <v>-1925167.654288106</v>
      </c>
      <c r="K12" t="n">
        <v>0.0664</v>
      </c>
      <c r="L12" t="n">
        <v>0.0698</v>
      </c>
      <c r="M12" t="n">
        <v>5358775</v>
      </c>
      <c r="N12" t="n">
        <v>3000000</v>
      </c>
    </row>
    <row r="13">
      <c r="A13" t="inlineStr">
        <is>
          <t>F1 CBJ 2.5m + equipment lease 0.5m + equity</t>
        </is>
      </c>
      <c r="B13" t="n">
        <v>4816039.614799246</v>
      </c>
      <c r="C13" t="n">
        <v>1144957.798815042</v>
      </c>
      <c r="D13" t="n">
        <v>0.2377</v>
      </c>
      <c r="E13" t="n">
        <v>-3.0088</v>
      </c>
      <c r="F13" t="n">
        <v>2029</v>
      </c>
      <c r="G13" t="n">
        <v>2.2951</v>
      </c>
      <c r="H13" t="n">
        <v>-806818.3552616632</v>
      </c>
      <c r="I13" t="n">
        <v>-1502654.438202631</v>
      </c>
      <c r="J13" t="n">
        <v>2583075.213504797</v>
      </c>
      <c r="K13" t="n">
        <v>0.1604</v>
      </c>
      <c r="L13" t="n">
        <v>0.1814</v>
      </c>
      <c r="M13" t="n">
        <v>2011175</v>
      </c>
      <c r="N13" t="n">
        <v>3000000</v>
      </c>
    </row>
    <row r="14">
      <c r="A14" t="inlineStr">
        <is>
          <t>F2 CBJ 2.5m + Islamic ijara 1.2m + lease 0.5m + equity</t>
        </is>
      </c>
      <c r="B14" t="n">
        <v>4816039.614799246</v>
      </c>
      <c r="C14" t="n">
        <v>1144957.798815042</v>
      </c>
      <c r="D14" t="n">
        <v>0.2377</v>
      </c>
      <c r="E14" t="n">
        <v>-2.123</v>
      </c>
      <c r="F14" t="n">
        <v>2029</v>
      </c>
      <c r="G14" t="n">
        <v>1.6049</v>
      </c>
      <c r="H14" t="n">
        <v>-1389033.695892893</v>
      </c>
      <c r="I14" t="n">
        <v>-1502654.438202631</v>
      </c>
      <c r="J14" t="n">
        <v>2583075.213504797</v>
      </c>
      <c r="K14" t="n">
        <v>0.1604</v>
      </c>
      <c r="L14" t="n">
        <v>0.2014</v>
      </c>
      <c r="M14" t="n">
        <v>862175</v>
      </c>
      <c r="N14" t="n">
        <v>4200000</v>
      </c>
    </row>
    <row r="15">
      <c r="A15" t="inlineStr">
        <is>
          <t>F3 Commercial loan only 3.6m at 8.5% (no CBJ)</t>
        </is>
      </c>
      <c r="B15" t="n">
        <v>4816039.614799246</v>
      </c>
      <c r="C15" t="n">
        <v>1144957.798815042</v>
      </c>
      <c r="D15" t="n">
        <v>0.2377</v>
      </c>
      <c r="E15" t="n">
        <v>0.0412</v>
      </c>
      <c r="F15" t="n">
        <v>2030</v>
      </c>
      <c r="G15" t="n">
        <v>1.5802</v>
      </c>
      <c r="H15" t="n">
        <v>-1221568.143481991</v>
      </c>
      <c r="I15" t="n">
        <v>-1502654.438202631</v>
      </c>
      <c r="J15" t="n">
        <v>2583075.213504797</v>
      </c>
      <c r="K15" t="n">
        <v>0.1604</v>
      </c>
      <c r="L15" t="n">
        <v>0.1746</v>
      </c>
      <c r="M15" t="n">
        <v>1522800</v>
      </c>
      <c r="N15" t="n">
        <v>3600000</v>
      </c>
    </row>
    <row r="16">
      <c r="A16" t="inlineStr">
        <is>
          <t>F4 Doctor-investor company: CBJ 2.0m + lease 0.5m, more equity from 10-15 doctors</t>
        </is>
      </c>
      <c r="B16" t="n">
        <v>4816039.614799246</v>
      </c>
      <c r="C16" t="n">
        <v>1144957.798815042</v>
      </c>
      <c r="D16" t="n">
        <v>0.2377</v>
      </c>
      <c r="E16" t="n">
        <v>-3.2953</v>
      </c>
      <c r="F16" t="n">
        <v>2029</v>
      </c>
      <c r="G16" t="n">
        <v>2.8617</v>
      </c>
      <c r="H16" t="n">
        <v>-641069.9638005851</v>
      </c>
      <c r="I16" t="n">
        <v>-1502654.438202631</v>
      </c>
      <c r="J16" t="n">
        <v>2583075.213504797</v>
      </c>
      <c r="K16" t="n">
        <v>0.1604</v>
      </c>
      <c r="L16" t="n">
        <v>0.1732</v>
      </c>
      <c r="M16" t="n">
        <v>2499300</v>
      </c>
      <c r="N16" t="n">
        <v>2500000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30" customWidth="1" min="3" max="3"/>
  </cols>
  <sheetData>
    <row r="1">
      <c r="A1" s="1" t="inlineStr">
        <is>
          <t>Comparison with the owner-supplied reference study (Ennab 2025, 80-bed general hospital, Wadi Musa)</t>
        </is>
      </c>
    </row>
    <row r="3">
      <c r="A3" t="inlineStr">
        <is>
          <t>Metric</t>
        </is>
      </c>
      <c r="B3" t="inlineStr">
        <is>
          <t>Reference study (80 beds)</t>
        </is>
      </c>
      <c r="C3" t="inlineStr">
        <is>
          <t>This study (20 beds, lean Phase 1)</t>
        </is>
      </c>
    </row>
    <row r="4">
      <c r="A4" t="inlineStr">
        <is>
          <t>Total investment JOD</t>
        </is>
      </c>
      <c r="B4" t="n">
        <v>7574640</v>
      </c>
      <c r="C4" t="n">
        <v>5011175</v>
      </c>
    </row>
    <row r="5">
      <c r="A5" t="inlineStr">
        <is>
          <t>Investment per bed</t>
        </is>
      </c>
      <c r="B5" t="n">
        <v>94683</v>
      </c>
      <c r="C5" t="n">
        <v>250559</v>
      </c>
    </row>
    <row r="6">
      <c r="A6" t="inlineStr">
        <is>
          <t>Building cost per m2 (structure+finishing)</t>
        </is>
      </c>
      <c r="B6" t="n">
        <v>298</v>
      </c>
      <c r="C6" t="n">
        <v>600</v>
      </c>
    </row>
    <row r="7">
      <c r="A7" t="inlineStr">
        <is>
          <t>Medical equipment JOD</t>
        </is>
      </c>
      <c r="B7" t="n">
        <v>3150400</v>
      </c>
      <c r="C7" t="n">
        <v>1300000</v>
      </c>
    </row>
    <row r="8">
      <c r="A8" t="inlineStr">
        <is>
          <t>Staff</t>
        </is>
      </c>
      <c r="B8" t="n">
        <v>100</v>
      </c>
      <c r="C8" t="n">
        <v>96</v>
      </c>
    </row>
    <row r="9">
      <c r="A9" t="inlineStr">
        <is>
          <t>Annual payroll Y1 JOD</t>
        </is>
      </c>
      <c r="B9" t="n">
        <v>609960</v>
      </c>
      <c r="C9" t="n">
        <v>970668</v>
      </c>
    </row>
    <row r="10">
      <c r="A10" t="inlineStr">
        <is>
          <t>Average monthly cost per employee</t>
        </is>
      </c>
      <c r="B10" t="n">
        <v>508</v>
      </c>
      <c r="C10" t="n">
        <v>1123</v>
      </c>
    </row>
    <row r="11">
      <c r="A11" t="inlineStr">
        <is>
          <t>Revenue Y1 JOD</t>
        </is>
      </c>
      <c r="B11" t="n">
        <v>3311250</v>
      </c>
      <c r="C11" t="n">
        <v>2017116</v>
      </c>
    </row>
    <row r="12">
      <c r="A12" t="inlineStr">
        <is>
          <t>Revenue ramp-up</t>
        </is>
      </c>
      <c r="B12" t="inlineStr">
        <is>
          <t>none (+3%/yr)</t>
        </is>
      </c>
      <c r="C12" t="inlineStr">
        <is>
          <t>38% -&gt; 72% ward occupancy over 6 years</t>
        </is>
      </c>
    </row>
    <row r="13">
      <c r="A13" t="inlineStr">
        <is>
          <t>Debt</t>
        </is>
      </c>
      <c r="B13" t="inlineStr">
        <is>
          <t>none</t>
        </is>
      </c>
      <c r="C13" t="n">
        <v>3000000</v>
      </c>
    </row>
    <row r="14">
      <c r="A14" t="inlineStr">
        <is>
          <t>Receivables</t>
        </is>
      </c>
      <c r="B14" t="inlineStr">
        <is>
          <t>ignored (all cash)</t>
        </is>
      </c>
      <c r="C14" t="inlineStr">
        <is>
          <t>105 days</t>
        </is>
      </c>
    </row>
    <row r="15">
      <c r="A15" t="inlineStr">
        <is>
          <t>Net profit Y1 JOD</t>
        </is>
      </c>
      <c r="B15" t="n">
        <v>150054</v>
      </c>
      <c r="C15" t="n">
        <v>-703566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2026-10-16T18:22:16Z</dcterms:created>
  <dcterms:modified xmlns:dcterms="http://purl.org/dc/terms/" xmlns:xsi="http://www.w3.org/2001/XMLSchema-instance" xsi:type="dcterms:W3CDTF">2026-10-16T18:22:16Z</dcterms:modified>
</cp:coreProperties>
</file>